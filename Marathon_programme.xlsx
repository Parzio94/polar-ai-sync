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" yWindow="3525" windowWidth="15135" windowHeight="10845" tabRatio="500" firstSheet="0" activeTab="0" autoFilterDateGrouping="1"/>
  </bookViews>
  <sheets>
    <sheet xmlns:r="http://schemas.openxmlformats.org/officeDocument/2006/relationships" name="Plan IM Final" sheetId="1" state="visible" r:id="rId1"/>
    <sheet xmlns:r="http://schemas.openxmlformats.org/officeDocument/2006/relationships" name="Top10CAP" sheetId="2" state="visible" r:id="rId2"/>
    <sheet xmlns:r="http://schemas.openxmlformats.org/officeDocument/2006/relationships" name="Nutrition" sheetId="3" state="visible" r:id="rId3"/>
    <sheet xmlns:r="http://schemas.openxmlformats.org/officeDocument/2006/relationships" name="Repères natation" sheetId="4" state="visible" r:id="rId4"/>
    <sheet xmlns:r="http://schemas.openxmlformats.org/officeDocument/2006/relationships" name="Repères course" sheetId="5" state="visible" r:id="rId5"/>
    <sheet xmlns:r="http://schemas.openxmlformats.org/officeDocument/2006/relationships" name="Repères vélo" sheetId="6" state="visible" r:id="rId6"/>
  </sheets>
  <definedNames>
    <definedName name="FTP">'Repères vélo'!$B$2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m/d/yyyy"/>
    <numFmt numFmtId="165" formatCode="_-* #,##0.00&quot; €&quot;_-;\-* #,##0.00&quot; €&quot;_-;_-* \-??&quot; €&quot;_-;_-@_-"/>
    <numFmt numFmtId="166" formatCode="#,##0.00&quot; €&quot;;[Red]\-#,##0.00&quot; €&quot;"/>
    <numFmt numFmtId="167" formatCode="#,##0.00\ [$€-407]"/>
    <numFmt numFmtId="168" formatCode="d\-mmm"/>
    <numFmt numFmtId="169" formatCode="0.00&quot; kcal&quot;"/>
    <numFmt numFmtId="170" formatCode="0.00&quot; g&quot;"/>
    <numFmt numFmtId="171" formatCode="0.0&quot; mg&quot;"/>
    <numFmt numFmtId="172" formatCode="General&quot;  mg&quot;"/>
    <numFmt numFmtId="173" formatCode="General&quot; mg&quot;"/>
    <numFmt numFmtId="174" formatCode="General&quot; ug&quot;"/>
    <numFmt numFmtId="175" formatCode="General&quot; µg&quot;"/>
    <numFmt numFmtId="176" formatCode="General&quot;  g&quot;"/>
    <numFmt numFmtId="177" formatCode="_(\$* #,##0.00_);_(\$* \(#,##0.00\);_(\$* \-??_);_(@_)"/>
  </numFmts>
  <fonts count="18">
    <font>
      <name val="Calibri"/>
      <charset val="1"/>
      <family val="2"/>
      <color theme="1"/>
      <sz val="11"/>
    </font>
    <font>
      <name val="Calibri"/>
      <charset val="1"/>
      <color theme="1"/>
      <sz val="11"/>
    </font>
    <font>
      <name val="Arial"/>
      <charset val="1"/>
      <b val="1"/>
      <color rgb="FFFFFFFF"/>
      <sz val="10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b val="1"/>
      <i val="1"/>
      <color rgb="FF000000"/>
      <sz val="9"/>
    </font>
    <font>
      <name val="Arial"/>
      <charset val="1"/>
      <family val="2"/>
      <b val="1"/>
      <color rgb="FF000000"/>
      <sz val="9"/>
    </font>
    <font>
      <name val="Calibri"/>
      <charset val="1"/>
      <color theme="0"/>
      <sz val="11"/>
    </font>
    <font>
      <name val="Calibri"/>
      <charset val="1"/>
      <sz val="11"/>
    </font>
    <font>
      <name val="Arial"/>
      <charset val="1"/>
      <sz val="10"/>
    </font>
    <font>
      <name val="Arial"/>
      <charset val="1"/>
      <color rgb="FF111827"/>
      <sz val="10.5"/>
    </font>
    <font>
      <name val="Calibri"/>
      <charset val="1"/>
      <b val="1"/>
      <color theme="1"/>
      <sz val="12"/>
    </font>
    <font>
      <name val="Arial"/>
      <charset val="1"/>
      <b val="1"/>
      <color rgb="FF111827"/>
      <sz val="12"/>
    </font>
    <font>
      <name val="Arial"/>
      <charset val="1"/>
      <b val="1"/>
      <sz val="11"/>
    </font>
    <font>
      <name val="Calibri"/>
      <charset val="1"/>
      <b val="1"/>
      <color theme="1"/>
      <sz val="11"/>
    </font>
    <font>
      <name val="Cambria"/>
      <charset val="1"/>
      <b val="1"/>
      <sz val="11"/>
    </font>
    <font>
      <name val="Calibri"/>
      <charset val="1"/>
      <b val="1"/>
      <color rgb="FF0000FF"/>
      <sz val="11"/>
    </font>
    <font>
      <name val="Calibri"/>
      <charset val="1"/>
      <family val="2"/>
      <color theme="1"/>
      <sz val="11"/>
    </font>
  </fonts>
  <fills count="32">
    <fill>
      <patternFill/>
    </fill>
    <fill>
      <patternFill patternType="gray125"/>
    </fill>
    <fill>
      <patternFill patternType="solid">
        <fgColor rgb="FF00796B"/>
        <bgColor rgb="FF00838F"/>
      </patternFill>
    </fill>
    <fill>
      <patternFill patternType="solid">
        <fgColor rgb="FFF5F5F5"/>
        <bgColor rgb="FFFFFFFF"/>
      </patternFill>
    </fill>
    <fill>
      <patternFill patternType="solid">
        <fgColor rgb="FFFFCCBC"/>
        <bgColor rgb="FFFCD5B5"/>
      </patternFill>
    </fill>
    <fill>
      <patternFill patternType="solid">
        <fgColor rgb="FFBBDEFB"/>
        <bgColor rgb="FFC6D9F1"/>
      </patternFill>
    </fill>
    <fill>
      <patternFill patternType="solid">
        <fgColor rgb="FFB2EBF2"/>
        <bgColor rgb="FFBBDEFB"/>
      </patternFill>
    </fill>
    <fill>
      <patternFill patternType="solid">
        <fgColor rgb="FFE8EAF6"/>
        <bgColor rgb="FFDDEBF7"/>
      </patternFill>
    </fill>
    <fill>
      <patternFill patternType="solid">
        <fgColor rgb="FF00838F"/>
        <bgColor rgb="FF00796B"/>
      </patternFill>
    </fill>
    <fill>
      <patternFill patternType="solid">
        <fgColor rgb="FF37474F"/>
        <bgColor rgb="FF455A64"/>
      </patternFill>
    </fill>
    <fill>
      <patternFill patternType="solid">
        <fgColor theme="9" tint="0.5995971556749168"/>
        <bgColor rgb="FFFFCCBC"/>
      </patternFill>
    </fill>
    <fill>
      <patternFill patternType="solid">
        <fgColor rgb="FF455A64"/>
        <bgColor rgb="FF37474F"/>
      </patternFill>
    </fill>
    <fill>
      <patternFill patternType="solid">
        <fgColor rgb="FF795548"/>
        <bgColor rgb="FF953735"/>
      </patternFill>
    </fill>
    <fill>
      <patternFill patternType="solid">
        <fgColor rgb="FF6A1B9A"/>
        <bgColor rgb="FF800080"/>
      </patternFill>
    </fill>
    <fill>
      <patternFill patternType="solid">
        <fgColor rgb="FF0277BD"/>
        <bgColor rgb="FF00838F"/>
      </patternFill>
    </fill>
    <fill>
      <patternFill patternType="solid">
        <fgColor rgb="FFE1F5FE"/>
        <bgColor rgb="FFDDEBF7"/>
      </patternFill>
    </fill>
    <fill>
      <patternFill patternType="solid">
        <fgColor rgb="FF546E7A"/>
        <bgColor rgb="FF455A64"/>
      </patternFill>
    </fill>
    <fill>
      <patternFill patternType="solid">
        <fgColor rgb="FFB71C1C"/>
        <bgColor rgb="FF953735"/>
      </patternFill>
    </fill>
    <fill>
      <patternFill patternType="solid">
        <fgColor theme="1"/>
        <bgColor rgb="FF111827"/>
      </patternFill>
    </fill>
    <fill>
      <patternFill patternType="solid">
        <fgColor theme="3"/>
        <bgColor rgb="FF37474F"/>
      </patternFill>
    </fill>
    <fill>
      <patternFill patternType="solid">
        <fgColor theme="9"/>
        <bgColor rgb="FFFF8080"/>
      </patternFill>
    </fill>
    <fill>
      <patternFill patternType="solid">
        <fgColor theme="0"/>
        <bgColor rgb="FFF5F5F5"/>
      </patternFill>
    </fill>
    <fill>
      <patternFill patternType="solid">
        <fgColor theme="8"/>
        <bgColor rgb="FF339966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5"/>
        <bgColor rgb="FFCC6600"/>
      </patternFill>
    </fill>
    <fill>
      <patternFill patternType="solid">
        <fgColor theme="7"/>
        <bgColor rgb="FF546E7A"/>
      </patternFill>
    </fill>
    <fill>
      <patternFill patternType="solid">
        <fgColor theme="5" tint="-0.249977111117893"/>
        <bgColor rgb="FF795548"/>
      </patternFill>
    </fill>
    <fill>
      <patternFill patternType="solid">
        <fgColor theme="3" tint="0.7998901333658864"/>
        <bgColor rgb="FFBBDEFB"/>
      </patternFill>
    </fill>
    <fill>
      <patternFill patternType="solid">
        <fgColor theme="0" tint="-0.1499984740745262"/>
        <bgColor rgb="FFCCCCCC"/>
      </patternFill>
    </fill>
    <fill>
      <patternFill patternType="solid">
        <fgColor rgb="FFCC6600"/>
        <bgColor rgb="FFC0504D"/>
      </patternFill>
    </fill>
    <fill>
      <patternFill patternType="solid">
        <fgColor rgb="FFDDEBF7"/>
        <bgColor rgb="FFE8EAF6"/>
      </patternFill>
    </fill>
    <fill>
      <patternFill patternType="solid">
        <fgColor rgb="FFFFFF00"/>
        <bgColor rgb="FFFFFF00"/>
      </patternFill>
    </fill>
  </fills>
  <borders count="3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4">
    <xf numFmtId="0" fontId="17" fillId="0" borderId="0"/>
    <xf numFmtId="177" fontId="1" fillId="0" borderId="0"/>
    <xf numFmtId="0" fontId="1" fillId="0" borderId="0"/>
    <xf numFmtId="9" fontId="17" fillId="0" borderId="0"/>
  </cellStyleXfs>
  <cellXfs count="247">
    <xf numFmtId="0" fontId="0" fillId="0" borderId="0" pivotButton="0" quotePrefix="0" xfId="0"/>
    <xf numFmtId="0" fontId="0" fillId="0" borderId="0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1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6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7" fillId="18" borderId="2" applyAlignment="1" pivotButton="0" quotePrefix="0" xfId="0">
      <alignment horizontal="center" wrapText="1"/>
    </xf>
    <xf numFmtId="0" fontId="8" fillId="0" borderId="2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7" fillId="19" borderId="2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left" vertical="center" wrapText="1"/>
    </xf>
    <xf numFmtId="0" fontId="8" fillId="21" borderId="3" applyAlignment="1" pivotButton="0" quotePrefix="0" xfId="0">
      <alignment horizontal="center" vertical="center" wrapText="1"/>
    </xf>
    <xf numFmtId="0" fontId="7" fillId="19" borderId="4" applyAlignment="1" pivotButton="0" quotePrefix="0" xfId="0">
      <alignment horizontal="center" vertical="center" wrapText="1"/>
    </xf>
    <xf numFmtId="0" fontId="8" fillId="21" borderId="4" applyAlignment="1" pivotButton="0" quotePrefix="0" xfId="0">
      <alignment horizontal="center" vertical="center" wrapText="1"/>
    </xf>
    <xf numFmtId="0" fontId="8" fillId="21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pivotButton="0" quotePrefix="0" xfId="0"/>
    <xf numFmtId="0" fontId="1" fillId="22" borderId="0" applyAlignment="1" pivotButton="0" quotePrefix="0" xfId="0">
      <alignment horizontal="left" wrapText="1"/>
    </xf>
    <xf numFmtId="165" fontId="1" fillId="0" borderId="0" pivotButton="0" quotePrefix="0" xfId="0"/>
    <xf numFmtId="0" fontId="8" fillId="23" borderId="2" applyAlignment="1" pivotButton="0" quotePrefix="0" xfId="0">
      <alignment horizontal="left" wrapText="1"/>
    </xf>
    <xf numFmtId="166" fontId="8" fillId="20" borderId="6" applyAlignment="1" pivotButton="0" quotePrefix="0" xfId="0">
      <alignment horizontal="center" vertical="center" wrapText="1"/>
    </xf>
    <xf numFmtId="166" fontId="8" fillId="22" borderId="6" applyAlignment="1" pivotButton="0" quotePrefix="0" xfId="0">
      <alignment horizontal="center" vertical="center" wrapText="1"/>
    </xf>
    <xf numFmtId="167" fontId="8" fillId="24" borderId="6" applyAlignment="1" pivotButton="0" quotePrefix="0" xfId="0">
      <alignment horizontal="center" vertical="center" wrapText="1"/>
    </xf>
    <xf numFmtId="167" fontId="8" fillId="25" borderId="6" applyAlignment="1" pivotButton="0" quotePrefix="0" xfId="0">
      <alignment horizontal="center" vertical="center" wrapText="1"/>
    </xf>
    <xf numFmtId="166" fontId="8" fillId="21" borderId="6" applyAlignment="1" pivotButton="0" quotePrefix="0" xfId="0">
      <alignment horizontal="center" vertical="center" wrapText="1"/>
    </xf>
    <xf numFmtId="166" fontId="8" fillId="26" borderId="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" fillId="25" borderId="0" applyAlignment="1" pivotButton="0" quotePrefix="0" xfId="0">
      <alignment horizontal="left" vertical="center" wrapText="1"/>
    </xf>
    <xf numFmtId="168" fontId="1" fillId="0" borderId="0" pivotButton="0" quotePrefix="0" xfId="0"/>
    <xf numFmtId="166" fontId="8" fillId="20" borderId="2" applyAlignment="1" pivotButton="0" quotePrefix="0" xfId="0">
      <alignment horizontal="center" vertical="center" wrapText="1"/>
    </xf>
    <xf numFmtId="166" fontId="8" fillId="22" borderId="2" applyAlignment="1" pivotButton="0" quotePrefix="0" xfId="0">
      <alignment horizontal="center" vertical="center" wrapText="1"/>
    </xf>
    <xf numFmtId="167" fontId="8" fillId="24" borderId="2" applyAlignment="1" pivotButton="0" quotePrefix="0" xfId="0">
      <alignment horizontal="center" vertical="center" wrapText="1"/>
    </xf>
    <xf numFmtId="167" fontId="8" fillId="25" borderId="2" applyAlignment="1" pivotButton="0" quotePrefix="0" xfId="0">
      <alignment horizontal="center" vertical="center" wrapText="1"/>
    </xf>
    <xf numFmtId="166" fontId="8" fillId="21" borderId="2" applyAlignment="1" pivotButton="0" quotePrefix="0" xfId="0">
      <alignment horizontal="center" vertical="center" wrapText="1"/>
    </xf>
    <xf numFmtId="166" fontId="8" fillId="26" borderId="2" applyAlignment="1" pivotButton="0" quotePrefix="0" xfId="0">
      <alignment horizontal="center" vertical="center" wrapText="1"/>
    </xf>
    <xf numFmtId="164" fontId="8" fillId="24" borderId="0" applyAlignment="1" pivotButton="0" quotePrefix="0" xfId="0">
      <alignment vertical="center" wrapText="1"/>
    </xf>
    <xf numFmtId="0" fontId="1" fillId="27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wrapText="1"/>
    </xf>
    <xf numFmtId="0" fontId="8" fillId="0" borderId="2" applyAlignment="1" pivotButton="0" quotePrefix="0" xfId="0">
      <alignment horizontal="right" wrapText="1"/>
    </xf>
    <xf numFmtId="2" fontId="8" fillId="0" borderId="2" applyAlignment="1" pivotButton="0" quotePrefix="0" xfId="0">
      <alignment horizontal="right" wrapText="1"/>
    </xf>
    <xf numFmtId="164" fontId="1" fillId="28" borderId="3" pivotButton="0" quotePrefix="0" xfId="0"/>
    <xf numFmtId="164" fontId="1" fillId="28" borderId="4" pivotButton="0" quotePrefix="0" xfId="0"/>
    <xf numFmtId="164" fontId="1" fillId="28" borderId="5" pivotButton="0" quotePrefix="0" xfId="0"/>
    <xf numFmtId="2" fontId="1" fillId="0" borderId="2" applyAlignment="1" pivotButton="0" quotePrefix="0" xfId="0">
      <alignment horizontal="left" wrapText="1"/>
    </xf>
    <xf numFmtId="0" fontId="1" fillId="0" borderId="7" pivotButton="0" quotePrefix="0" xfId="0"/>
    <xf numFmtId="164" fontId="8" fillId="20" borderId="8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right" wrapText="1"/>
    </xf>
    <xf numFmtId="166" fontId="8" fillId="0" borderId="2" applyAlignment="1" pivotButton="0" quotePrefix="0" xfId="0">
      <alignment horizontal="right" wrapText="1"/>
    </xf>
    <xf numFmtId="0" fontId="1" fillId="0" borderId="9" pivotButton="0" quotePrefix="0" xfId="0"/>
    <xf numFmtId="0" fontId="1" fillId="22" borderId="10" applyAlignment="1" pivotButton="0" quotePrefix="0" xfId="0">
      <alignment horizontal="left" wrapText="1"/>
    </xf>
    <xf numFmtId="0" fontId="1" fillId="22" borderId="11" applyAlignment="1" pivotButton="0" quotePrefix="0" xfId="0">
      <alignment horizontal="left" wrapText="1"/>
    </xf>
    <xf numFmtId="164" fontId="8" fillId="22" borderId="11" applyAlignment="1" pivotButton="0" quotePrefix="0" xfId="0">
      <alignment wrapText="1"/>
    </xf>
    <xf numFmtId="164" fontId="8" fillId="22" borderId="12" applyAlignment="1" pivotButton="0" quotePrefix="0" xfId="0">
      <alignment horizontal="left" wrapText="1"/>
    </xf>
    <xf numFmtId="166" fontId="1" fillId="0" borderId="0" pivotButton="0" quotePrefix="0" xfId="0"/>
    <xf numFmtId="1" fontId="8" fillId="0" borderId="2" applyAlignment="1" pivotButton="0" quotePrefix="0" xfId="0">
      <alignment horizontal="right" wrapText="1"/>
    </xf>
    <xf numFmtId="0" fontId="1" fillId="24" borderId="10" applyAlignment="1" pivotButton="0" quotePrefix="0" xfId="0">
      <alignment horizontal="left" vertical="center" wrapText="1"/>
    </xf>
    <xf numFmtId="0" fontId="1" fillId="24" borderId="11" applyAlignment="1" pivotButton="0" quotePrefix="0" xfId="0">
      <alignment horizontal="left" vertical="center" wrapText="1"/>
    </xf>
    <xf numFmtId="164" fontId="8" fillId="24" borderId="12" applyAlignment="1" pivotButton="0" quotePrefix="0" xfId="0">
      <alignment horizontal="left" vertical="center" wrapText="1"/>
    </xf>
    <xf numFmtId="0" fontId="1" fillId="25" borderId="13" applyAlignment="1" pivotButton="0" quotePrefix="0" xfId="0">
      <alignment horizontal="left" vertical="center" wrapText="1"/>
    </xf>
    <xf numFmtId="164" fontId="8" fillId="25" borderId="14" applyAlignment="1" pivotButton="0" quotePrefix="0" xfId="0">
      <alignment horizontal="left" vertical="center" wrapText="1"/>
    </xf>
    <xf numFmtId="0" fontId="1" fillId="0" borderId="15" pivotButton="0" quotePrefix="0" xfId="0"/>
    <xf numFmtId="0" fontId="1" fillId="27" borderId="16" applyAlignment="1" pivotButton="0" quotePrefix="0" xfId="0">
      <alignment horizontal="left" vertical="center" wrapText="1"/>
    </xf>
    <xf numFmtId="164" fontId="8" fillId="27" borderId="12" applyAlignment="1" pivotButton="0" quotePrefix="0" xfId="0">
      <alignment horizontal="left" vertical="center" wrapText="1"/>
    </xf>
    <xf numFmtId="0" fontId="1" fillId="27" borderId="11" applyAlignment="1" pivotButton="0" quotePrefix="0" xfId="0">
      <alignment horizontal="left" vertical="center" wrapText="1"/>
    </xf>
    <xf numFmtId="165" fontId="8" fillId="0" borderId="2" applyAlignment="1" pivotButton="0" quotePrefix="0" xfId="0">
      <alignment horizontal="right" wrapText="1"/>
    </xf>
    <xf numFmtId="0" fontId="1" fillId="0" borderId="17" pivotButton="0" quotePrefix="0" xfId="0"/>
    <xf numFmtId="0" fontId="1" fillId="26" borderId="10" applyAlignment="1" pivotButton="0" quotePrefix="0" xfId="0">
      <alignment horizontal="left" vertical="center" wrapText="1"/>
    </xf>
    <xf numFmtId="0" fontId="1" fillId="26" borderId="11" applyAlignment="1" pivotButton="0" quotePrefix="0" xfId="0">
      <alignment horizontal="left" vertical="center" wrapText="1"/>
    </xf>
    <xf numFmtId="164" fontId="8" fillId="26" borderId="11" applyAlignment="1" pivotButton="0" quotePrefix="0" xfId="0">
      <alignment horizontal="left" vertical="center" wrapText="1"/>
    </xf>
    <xf numFmtId="168" fontId="8" fillId="26" borderId="12" applyAlignment="1" pivotButton="0" quotePrefix="0" xfId="0">
      <alignment horizontal="left" vertical="center" wrapText="1"/>
    </xf>
    <xf numFmtId="0" fontId="1" fillId="0" borderId="18" pivotButton="0" quotePrefix="0" xfId="0"/>
    <xf numFmtId="167" fontId="1" fillId="0" borderId="14" applyAlignment="1" pivotButton="0" quotePrefix="0" xfId="0">
      <alignment horizontal="left" wrapText="1"/>
    </xf>
    <xf numFmtId="167" fontId="1" fillId="0" borderId="0" pivotButton="0" quotePrefix="0" xfId="0"/>
    <xf numFmtId="0" fontId="10" fillId="0" borderId="0" applyAlignment="1" pivotButton="0" quotePrefix="0" xfId="0">
      <alignment horizontal="left" wrapText="1"/>
    </xf>
    <xf numFmtId="0" fontId="11" fillId="23" borderId="18" pivotButton="0" quotePrefix="0" xfId="0"/>
    <xf numFmtId="0" fontId="12" fillId="23" borderId="19" applyAlignment="1" pivotButton="0" quotePrefix="0" xfId="0">
      <alignment horizontal="left" wrapText="1"/>
    </xf>
    <xf numFmtId="166" fontId="8" fillId="20" borderId="3" applyAlignment="1" pivotButton="0" quotePrefix="0" xfId="0">
      <alignment horizontal="center" vertical="center" wrapText="1"/>
    </xf>
    <xf numFmtId="166" fontId="8" fillId="22" borderId="4" applyAlignment="1" pivotButton="0" quotePrefix="0" xfId="0">
      <alignment horizontal="center" vertical="center" wrapText="1"/>
    </xf>
    <xf numFmtId="167" fontId="8" fillId="24" borderId="4" applyAlignment="1" pivotButton="0" quotePrefix="0" xfId="0">
      <alignment horizontal="center" vertical="center" wrapText="1"/>
    </xf>
    <xf numFmtId="167" fontId="8" fillId="25" borderId="4" applyAlignment="1" pivotButton="0" quotePrefix="0" xfId="0">
      <alignment horizontal="center" vertical="center" wrapText="1"/>
    </xf>
    <xf numFmtId="166" fontId="8" fillId="27" borderId="4" applyAlignment="1" pivotButton="0" quotePrefix="0" xfId="0">
      <alignment horizontal="center" vertical="center" wrapText="1"/>
    </xf>
    <xf numFmtId="0" fontId="8" fillId="29" borderId="12" applyAlignment="1" pivotButton="0" quotePrefix="0" xfId="0">
      <alignment horizontal="center" vertical="center" wrapText="1"/>
    </xf>
    <xf numFmtId="0" fontId="8" fillId="0" borderId="10" pivotButton="0" quotePrefix="0" xfId="0"/>
    <xf numFmtId="167" fontId="8" fillId="0" borderId="12" applyAlignment="1" pivotButton="0" quotePrefix="0" xfId="0">
      <alignment horizontal="left" wrapText="1"/>
    </xf>
    <xf numFmtId="0" fontId="13" fillId="0" borderId="20" applyAlignment="1" pivotButton="0" quotePrefix="0" xfId="0">
      <alignment horizontal="left" wrapText="1"/>
    </xf>
    <xf numFmtId="169" fontId="14" fillId="0" borderId="21" applyAlignment="1" pivotButton="0" quotePrefix="0" xfId="0">
      <alignment horizontal="left" wrapText="1"/>
    </xf>
    <xf numFmtId="0" fontId="1" fillId="0" borderId="2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9" fontId="1" fillId="0" borderId="0" applyAlignment="1" pivotButton="0" quotePrefix="0" xfId="0">
      <alignment horizontal="center" vertical="center" wrapText="1"/>
    </xf>
    <xf numFmtId="169" fontId="1" fillId="0" borderId="23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left" wrapText="1"/>
    </xf>
    <xf numFmtId="170" fontId="14" fillId="0" borderId="25" applyAlignment="1" pivotButton="0" quotePrefix="0" xfId="0">
      <alignment horizontal="left" wrapText="1"/>
    </xf>
    <xf numFmtId="170" fontId="1" fillId="0" borderId="0" applyAlignment="1" pivotButton="0" quotePrefix="0" xfId="0">
      <alignment horizontal="center" vertical="center" wrapText="1"/>
    </xf>
    <xf numFmtId="170" fontId="1" fillId="0" borderId="23" applyAlignment="1" pivotButton="0" quotePrefix="0" xfId="0">
      <alignment horizontal="center" vertical="center" wrapText="1"/>
    </xf>
    <xf numFmtId="171" fontId="14" fillId="0" borderId="25" applyAlignment="1" pivotButton="0" quotePrefix="0" xfId="0">
      <alignment horizontal="left" wrapText="1"/>
    </xf>
    <xf numFmtId="171" fontId="1" fillId="0" borderId="0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172" fontId="1" fillId="0" borderId="0" applyAlignment="1" pivotButton="0" quotePrefix="0" xfId="0">
      <alignment horizontal="center" vertical="center" wrapText="1"/>
    </xf>
    <xf numFmtId="173" fontId="14" fillId="0" borderId="25" applyAlignment="1" pivotButton="0" quotePrefix="0" xfId="0">
      <alignment horizontal="left" wrapText="1"/>
    </xf>
    <xf numFmtId="172" fontId="1" fillId="0" borderId="23" applyAlignment="1" pivotButton="0" quotePrefix="0" xfId="0">
      <alignment horizontal="center" vertical="center" wrapText="1"/>
    </xf>
    <xf numFmtId="2" fontId="1" fillId="0" borderId="0" pivotButton="0" quotePrefix="0" xfId="0"/>
    <xf numFmtId="171" fontId="1" fillId="0" borderId="23" applyAlignment="1" pivotButton="0" quotePrefix="0" xfId="0">
      <alignment horizontal="center" vertical="center" wrapText="1"/>
    </xf>
    <xf numFmtId="173" fontId="1" fillId="0" borderId="0" applyAlignment="1" pivotButton="0" quotePrefix="0" xfId="0">
      <alignment horizontal="center" vertical="center" wrapText="1"/>
    </xf>
    <xf numFmtId="174" fontId="14" fillId="0" borderId="25" applyAlignment="1" pivotButton="0" quotePrefix="0" xfId="0">
      <alignment horizontal="left" wrapText="1"/>
    </xf>
    <xf numFmtId="174" fontId="1" fillId="0" borderId="0" applyAlignment="1" pivotButton="0" quotePrefix="0" xfId="0">
      <alignment horizontal="center" vertical="center" wrapText="1"/>
    </xf>
    <xf numFmtId="174" fontId="1" fillId="0" borderId="23" applyAlignment="1" pivotButton="0" quotePrefix="0" xfId="0">
      <alignment horizontal="center" vertical="center" wrapText="1"/>
    </xf>
    <xf numFmtId="173" fontId="1" fillId="0" borderId="23" applyAlignment="1" pivotButton="0" quotePrefix="0" xfId="0">
      <alignment horizontal="center" vertical="center" wrapText="1"/>
    </xf>
    <xf numFmtId="173" fontId="1" fillId="0" borderId="22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175" fontId="14" fillId="0" borderId="25" applyAlignment="1" pivotButton="0" quotePrefix="0" xfId="0">
      <alignment horizontal="left" wrapText="1"/>
    </xf>
    <xf numFmtId="17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75" fontId="1" fillId="0" borderId="23" applyAlignment="1" pivotButton="0" quotePrefix="0" xfId="0">
      <alignment horizontal="center" vertical="center" wrapText="1"/>
    </xf>
    <xf numFmtId="0" fontId="1" fillId="0" borderId="23" pivotButton="0" quotePrefix="0" xfId="0"/>
    <xf numFmtId="0" fontId="13" fillId="0" borderId="26" applyAlignment="1" pivotButton="0" quotePrefix="0" xfId="0">
      <alignment horizontal="left" wrapText="1"/>
    </xf>
    <xf numFmtId="173" fontId="14" fillId="0" borderId="27" applyAlignment="1" pivotButton="0" quotePrefix="0" xfId="0">
      <alignment horizontal="left" wrapText="1"/>
    </xf>
    <xf numFmtId="0" fontId="1" fillId="0" borderId="28" applyAlignment="1" pivotButton="0" quotePrefix="0" xfId="0">
      <alignment horizontal="center" vertical="center" wrapText="1"/>
    </xf>
    <xf numFmtId="0" fontId="1" fillId="0" borderId="13" pivotButton="0" quotePrefix="0" xfId="0"/>
    <xf numFmtId="173" fontId="1" fillId="0" borderId="13" applyAlignment="1" pivotButton="0" quotePrefix="0" xfId="0">
      <alignment horizontal="center" vertical="center" wrapText="1"/>
    </xf>
    <xf numFmtId="0" fontId="1" fillId="0" borderId="14" pivotButton="0" quotePrefix="0" xfId="0"/>
    <xf numFmtId="176" fontId="1" fillId="0" borderId="0" applyAlignment="1" pivotButton="0" quotePrefix="0" xfId="0">
      <alignment horizontal="left" wrapText="1"/>
    </xf>
    <xf numFmtId="172" fontId="1" fillId="0" borderId="0" applyAlignment="1" pivotButton="0" quotePrefix="0" xfId="0">
      <alignment horizontal="left" wrapText="1"/>
    </xf>
    <xf numFmtId="176" fontId="1" fillId="0" borderId="0" pivotButton="0" quotePrefix="0" xfId="0"/>
    <xf numFmtId="0" fontId="15" fillId="0" borderId="0" applyAlignment="1" pivotButton="0" quotePrefix="0" xfId="0">
      <alignment vertical="top" wrapText="1"/>
    </xf>
    <xf numFmtId="0" fontId="15" fillId="3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6" fillId="31" borderId="0" applyAlignment="1" pivotButton="0" quotePrefix="0" xfId="0">
      <alignment vertical="top" wrapText="1"/>
    </xf>
    <xf numFmtId="0" fontId="2" fillId="11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  <xf numFmtId="164" fontId="2" fillId="16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0" fillId="0" borderId="0" pivotButton="0" quotePrefix="0" xfId="0"/>
    <xf numFmtId="9" fontId="0" fillId="0" borderId="0" pivotButton="0" quotePrefix="0" xfId="0"/>
    <xf numFmtId="9" fontId="0" fillId="0" borderId="0" pivotButton="0" quotePrefix="0" xfId="3"/>
    <xf numFmtId="0" fontId="0" fillId="0" borderId="2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2" pivotButton="0" quotePrefix="0" xfId="0"/>
    <xf numFmtId="9" fontId="0" fillId="0" borderId="2" pivotButton="0" quotePrefix="0" xfId="0"/>
    <xf numFmtId="0" fontId="0" fillId="0" borderId="0" applyAlignment="1" pivotButton="0" quotePrefix="0" xfId="0">
      <alignment vertical="top"/>
    </xf>
    <xf numFmtId="9" fontId="0" fillId="0" borderId="0" applyAlignment="1" pivotButton="0" quotePrefix="0" xfId="3">
      <alignment vertical="top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9" fontId="0" fillId="0" borderId="2" applyAlignment="1" pivotButton="0" quotePrefix="0" xfId="0">
      <alignment vertical="top"/>
    </xf>
    <xf numFmtId="0" fontId="0" fillId="0" borderId="2" applyAlignment="1" pivotButton="0" quotePrefix="0" xfId="0">
      <alignment horizontal="left" vertical="center"/>
    </xf>
    <xf numFmtId="9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4" fontId="2" fillId="9" borderId="1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/>
    </xf>
    <xf numFmtId="0" fontId="0" fillId="0" borderId="37" pivotButton="0" quotePrefix="0" xfId="0"/>
    <xf numFmtId="164" fontId="1" fillId="0" borderId="0" pivotButton="0" quotePrefix="0" xfId="0"/>
    <xf numFmtId="165" fontId="1" fillId="0" borderId="0" pivotButton="0" quotePrefix="0" xfId="0"/>
    <xf numFmtId="166" fontId="8" fillId="20" borderId="6" applyAlignment="1" pivotButton="0" quotePrefix="0" xfId="0">
      <alignment horizontal="center" vertical="center" wrapText="1"/>
    </xf>
    <xf numFmtId="166" fontId="8" fillId="22" borderId="6" applyAlignment="1" pivotButton="0" quotePrefix="0" xfId="0">
      <alignment horizontal="center" vertical="center" wrapText="1"/>
    </xf>
    <xf numFmtId="167" fontId="8" fillId="24" borderId="6" applyAlignment="1" pivotButton="0" quotePrefix="0" xfId="0">
      <alignment horizontal="center" vertical="center" wrapText="1"/>
    </xf>
    <xf numFmtId="167" fontId="8" fillId="25" borderId="6" applyAlignment="1" pivotButton="0" quotePrefix="0" xfId="0">
      <alignment horizontal="center" vertical="center" wrapText="1"/>
    </xf>
    <xf numFmtId="166" fontId="8" fillId="21" borderId="6" applyAlignment="1" pivotButton="0" quotePrefix="0" xfId="0">
      <alignment horizontal="center" vertical="center" wrapText="1"/>
    </xf>
    <xf numFmtId="166" fontId="8" fillId="26" borderId="6" applyAlignment="1" pivotButton="0" quotePrefix="0" xfId="0">
      <alignment horizontal="center" vertical="center" wrapText="1"/>
    </xf>
    <xf numFmtId="168" fontId="1" fillId="0" borderId="0" pivotButton="0" quotePrefix="0" xfId="0"/>
    <xf numFmtId="166" fontId="8" fillId="20" borderId="2" applyAlignment="1" pivotButton="0" quotePrefix="0" xfId="0">
      <alignment horizontal="center" vertical="center" wrapText="1"/>
    </xf>
    <xf numFmtId="166" fontId="8" fillId="22" borderId="2" applyAlignment="1" pivotButton="0" quotePrefix="0" xfId="0">
      <alignment horizontal="center" vertical="center" wrapText="1"/>
    </xf>
    <xf numFmtId="167" fontId="8" fillId="24" borderId="2" applyAlignment="1" pivotButton="0" quotePrefix="0" xfId="0">
      <alignment horizontal="center" vertical="center" wrapText="1"/>
    </xf>
    <xf numFmtId="167" fontId="8" fillId="25" borderId="2" applyAlignment="1" pivotButton="0" quotePrefix="0" xfId="0">
      <alignment horizontal="center" vertical="center" wrapText="1"/>
    </xf>
    <xf numFmtId="166" fontId="8" fillId="21" borderId="2" applyAlignment="1" pivotButton="0" quotePrefix="0" xfId="0">
      <alignment horizontal="center" vertical="center" wrapText="1"/>
    </xf>
    <xf numFmtId="166" fontId="8" fillId="26" borderId="2" applyAlignment="1" pivotButton="0" quotePrefix="0" xfId="0">
      <alignment horizontal="center" vertical="center" wrapText="1"/>
    </xf>
    <xf numFmtId="164" fontId="8" fillId="24" borderId="0" applyAlignment="1" pivotButton="0" quotePrefix="0" xfId="0">
      <alignment vertical="center" wrapText="1"/>
    </xf>
    <xf numFmtId="164" fontId="1" fillId="28" borderId="3" pivotButton="0" quotePrefix="0" xfId="0"/>
    <xf numFmtId="164" fontId="1" fillId="28" borderId="4" pivotButton="0" quotePrefix="0" xfId="0"/>
    <xf numFmtId="164" fontId="1" fillId="28" borderId="5" pivotButton="0" quotePrefix="0" xfId="0"/>
    <xf numFmtId="164" fontId="8" fillId="20" borderId="8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right" wrapText="1"/>
    </xf>
    <xf numFmtId="166" fontId="8" fillId="0" borderId="2" applyAlignment="1" pivotButton="0" quotePrefix="0" xfId="0">
      <alignment horizontal="right" wrapText="1"/>
    </xf>
    <xf numFmtId="164" fontId="8" fillId="22" borderId="11" applyAlignment="1" pivotButton="0" quotePrefix="0" xfId="0">
      <alignment wrapText="1"/>
    </xf>
    <xf numFmtId="164" fontId="8" fillId="22" borderId="12" applyAlignment="1" pivotButton="0" quotePrefix="0" xfId="0">
      <alignment horizontal="left" wrapText="1"/>
    </xf>
    <xf numFmtId="166" fontId="1" fillId="0" borderId="0" pivotButton="0" quotePrefix="0" xfId="0"/>
    <xf numFmtId="164" fontId="8" fillId="24" borderId="12" applyAlignment="1" pivotButton="0" quotePrefix="0" xfId="0">
      <alignment horizontal="left" vertical="center" wrapText="1"/>
    </xf>
    <xf numFmtId="164" fontId="8" fillId="25" borderId="14" applyAlignment="1" pivotButton="0" quotePrefix="0" xfId="0">
      <alignment horizontal="left" vertical="center" wrapText="1"/>
    </xf>
    <xf numFmtId="164" fontId="8" fillId="27" borderId="12" applyAlignment="1" pivotButton="0" quotePrefix="0" xfId="0">
      <alignment horizontal="left" vertical="center" wrapText="1"/>
    </xf>
    <xf numFmtId="165" fontId="8" fillId="0" borderId="2" applyAlignment="1" pivotButton="0" quotePrefix="0" xfId="0">
      <alignment horizontal="right" wrapText="1"/>
    </xf>
    <xf numFmtId="164" fontId="8" fillId="26" borderId="11" applyAlignment="1" pivotButton="0" quotePrefix="0" xfId="0">
      <alignment horizontal="left" vertical="center" wrapText="1"/>
    </xf>
    <xf numFmtId="168" fontId="8" fillId="26" borderId="12" applyAlignment="1" pivotButton="0" quotePrefix="0" xfId="0">
      <alignment horizontal="left" vertical="center" wrapText="1"/>
    </xf>
    <xf numFmtId="167" fontId="1" fillId="0" borderId="14" applyAlignment="1" pivotButton="0" quotePrefix="0" xfId="0">
      <alignment horizontal="left" wrapText="1"/>
    </xf>
    <xf numFmtId="167" fontId="1" fillId="0" borderId="0" pivotButton="0" quotePrefix="0" xfId="0"/>
    <xf numFmtId="166" fontId="8" fillId="20" borderId="3" applyAlignment="1" pivotButton="0" quotePrefix="0" xfId="0">
      <alignment horizontal="center" vertical="center" wrapText="1"/>
    </xf>
    <xf numFmtId="166" fontId="8" fillId="22" borderId="4" applyAlignment="1" pivotButton="0" quotePrefix="0" xfId="0">
      <alignment horizontal="center" vertical="center" wrapText="1"/>
    </xf>
    <xf numFmtId="167" fontId="8" fillId="24" borderId="4" applyAlignment="1" pivotButton="0" quotePrefix="0" xfId="0">
      <alignment horizontal="center" vertical="center" wrapText="1"/>
    </xf>
    <xf numFmtId="167" fontId="8" fillId="25" borderId="4" applyAlignment="1" pivotButton="0" quotePrefix="0" xfId="0">
      <alignment horizontal="center" vertical="center" wrapText="1"/>
    </xf>
    <xf numFmtId="166" fontId="8" fillId="27" borderId="4" applyAlignment="1" pivotButton="0" quotePrefix="0" xfId="0">
      <alignment horizontal="center" vertical="center" wrapText="1"/>
    </xf>
    <xf numFmtId="167" fontId="8" fillId="0" borderId="12" applyAlignment="1" pivotButton="0" quotePrefix="0" xfId="0">
      <alignment horizontal="left" wrapText="1"/>
    </xf>
    <xf numFmtId="169" fontId="14" fillId="0" borderId="21" applyAlignment="1" pivotButton="0" quotePrefix="0" xfId="0">
      <alignment horizontal="left" wrapText="1"/>
    </xf>
    <xf numFmtId="169" fontId="1" fillId="0" borderId="0" applyAlignment="1" pivotButton="0" quotePrefix="0" xfId="0">
      <alignment horizontal="center" vertical="center" wrapText="1"/>
    </xf>
    <xf numFmtId="169" fontId="1" fillId="0" borderId="23" applyAlignment="1" pivotButton="0" quotePrefix="0" xfId="0">
      <alignment horizontal="center" vertical="center" wrapText="1"/>
    </xf>
    <xf numFmtId="170" fontId="14" fillId="0" borderId="25" applyAlignment="1" pivotButton="0" quotePrefix="0" xfId="0">
      <alignment horizontal="left" wrapText="1"/>
    </xf>
    <xf numFmtId="170" fontId="1" fillId="0" borderId="0" applyAlignment="1" pivotButton="0" quotePrefix="0" xfId="0">
      <alignment horizontal="center" vertical="center" wrapText="1"/>
    </xf>
    <xf numFmtId="170" fontId="1" fillId="0" borderId="23" applyAlignment="1" pivotButton="0" quotePrefix="0" xfId="0">
      <alignment horizontal="center" vertical="center" wrapText="1"/>
    </xf>
    <xf numFmtId="171" fontId="14" fillId="0" borderId="25" applyAlignment="1" pivotButton="0" quotePrefix="0" xfId="0">
      <alignment horizontal="left" wrapText="1"/>
    </xf>
    <xf numFmtId="171" fontId="1" fillId="0" borderId="0" applyAlignment="1" pivotButton="0" quotePrefix="0" xfId="0">
      <alignment horizontal="center" vertical="center" wrapText="1"/>
    </xf>
    <xf numFmtId="172" fontId="1" fillId="0" borderId="0" applyAlignment="1" pivotButton="0" quotePrefix="0" xfId="0">
      <alignment horizontal="center" vertical="center" wrapText="1"/>
    </xf>
    <xf numFmtId="173" fontId="14" fillId="0" borderId="25" applyAlignment="1" pivotButton="0" quotePrefix="0" xfId="0">
      <alignment horizontal="left" wrapText="1"/>
    </xf>
    <xf numFmtId="172" fontId="1" fillId="0" borderId="23" applyAlignment="1" pivotButton="0" quotePrefix="0" xfId="0">
      <alignment horizontal="center" vertical="center" wrapText="1"/>
    </xf>
    <xf numFmtId="171" fontId="1" fillId="0" borderId="23" applyAlignment="1" pivotButton="0" quotePrefix="0" xfId="0">
      <alignment horizontal="center" vertical="center" wrapText="1"/>
    </xf>
    <xf numFmtId="173" fontId="1" fillId="0" borderId="0" applyAlignment="1" pivotButton="0" quotePrefix="0" xfId="0">
      <alignment horizontal="center" vertical="center" wrapText="1"/>
    </xf>
    <xf numFmtId="174" fontId="14" fillId="0" borderId="25" applyAlignment="1" pivotButton="0" quotePrefix="0" xfId="0">
      <alignment horizontal="left" wrapText="1"/>
    </xf>
    <xf numFmtId="174" fontId="1" fillId="0" borderId="0" applyAlignment="1" pivotButton="0" quotePrefix="0" xfId="0">
      <alignment horizontal="center" vertical="center" wrapText="1"/>
    </xf>
    <xf numFmtId="174" fontId="1" fillId="0" borderId="23" applyAlignment="1" pivotButton="0" quotePrefix="0" xfId="0">
      <alignment horizontal="center" vertical="center" wrapText="1"/>
    </xf>
    <xf numFmtId="173" fontId="1" fillId="0" borderId="23" applyAlignment="1" pivotButton="0" quotePrefix="0" xfId="0">
      <alignment horizontal="center" vertical="center" wrapText="1"/>
    </xf>
    <xf numFmtId="173" fontId="1" fillId="0" borderId="22" applyAlignment="1" pivotButton="0" quotePrefix="0" xfId="0">
      <alignment horizontal="center" vertical="center" wrapText="1"/>
    </xf>
    <xf numFmtId="175" fontId="14" fillId="0" borderId="25" applyAlignment="1" pivotButton="0" quotePrefix="0" xfId="0">
      <alignment horizontal="left" wrapText="1"/>
    </xf>
    <xf numFmtId="175" fontId="1" fillId="0" borderId="0" applyAlignment="1" pivotButton="0" quotePrefix="0" xfId="0">
      <alignment horizontal="center" vertical="center" wrapText="1"/>
    </xf>
    <xf numFmtId="175" fontId="1" fillId="0" borderId="23" applyAlignment="1" pivotButton="0" quotePrefix="0" xfId="0">
      <alignment horizontal="center" vertical="center" wrapText="1"/>
    </xf>
    <xf numFmtId="173" fontId="14" fillId="0" borderId="27" applyAlignment="1" pivotButton="0" quotePrefix="0" xfId="0">
      <alignment horizontal="left" wrapText="1"/>
    </xf>
    <xf numFmtId="173" fontId="1" fillId="0" borderId="13" applyAlignment="1" pivotButton="0" quotePrefix="0" xfId="0">
      <alignment horizontal="center" vertical="center" wrapText="1"/>
    </xf>
    <xf numFmtId="176" fontId="1" fillId="0" borderId="0" applyAlignment="1" pivotButton="0" quotePrefix="0" xfId="0">
      <alignment horizontal="left" wrapText="1"/>
    </xf>
    <xf numFmtId="172" fontId="1" fillId="0" borderId="0" applyAlignment="1" pivotButton="0" quotePrefix="0" xfId="0">
      <alignment horizontal="left" wrapText="1"/>
    </xf>
    <xf numFmtId="176" fontId="1" fillId="0" borderId="0" pivotButton="0" quotePrefix="0" xfId="0"/>
  </cellXfs>
  <cellStyles count="4">
    <cellStyle name="Normal" xfId="0" builtinId="0"/>
    <cellStyle name="Monétaire 2" xfId="1"/>
    <cellStyle name="Normal 2" xfId="2"/>
    <cellStyle name="Pourcentage" xfId="3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95548"/>
      <rgbColor rgb="FF6A1B9A"/>
      <rgbColor rgb="FF00838F"/>
      <rgbColor rgb="FFBFBFBF"/>
      <rgbColor rgb="FF546E7A"/>
      <rgbColor rgb="FFE8EAF6"/>
      <rgbColor rgb="FF953735"/>
      <rgbColor rgb="FFF5F5F5"/>
      <rgbColor rgb="FFE1F5FE"/>
      <rgbColor rgb="FF660066"/>
      <rgbColor rgb="FFFF8080"/>
      <rgbColor rgb="FF0277BD"/>
      <rgbColor rgb="FFC6D9F1"/>
      <rgbColor rgb="FF000080"/>
      <rgbColor rgb="FFFF00FF"/>
      <rgbColor rgb="FFFFFF00"/>
      <rgbColor rgb="FF00FFFF"/>
      <rgbColor rgb="FF800080"/>
      <rgbColor rgb="FF800000"/>
      <rgbColor rgb="FF00796B"/>
      <rgbColor rgb="FF0000FF"/>
      <rgbColor rgb="FF00CCFF"/>
      <rgbColor rgb="FFDDEBF7"/>
      <rgbColor rgb="FFB2EBF2"/>
      <rgbColor rgb="FFFCD5B5"/>
      <rgbColor rgb="FFBBDEFB"/>
      <rgbColor rgb="FFD9D9D9"/>
      <rgbColor rgb="FFCCCCCC"/>
      <rgbColor rgb="FFFFCCBC"/>
      <rgbColor rgb="FF3366FF"/>
      <rgbColor rgb="FF4BACC6"/>
      <rgbColor rgb="FF99CC00"/>
      <rgbColor rgb="FFFFCC00"/>
      <rgbColor rgb="FFF79646"/>
      <rgbColor rgb="FFCC6600"/>
      <rgbColor rgb="FF8064A2"/>
      <rgbColor rgb="FF969696"/>
      <rgbColor rgb="FF003366"/>
      <rgbColor rgb="FF339966"/>
      <rgbColor rgb="FF111827"/>
      <rgbColor rgb="FF455A64"/>
      <rgbColor rgb="FFB71C1C"/>
      <rgbColor rgb="FFC0504D"/>
      <rgbColor rgb="FF1F497D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"/>
  <sheetViews>
    <sheetView zoomScale="70" workbookViewId="0">
      <selection activeCell="A1" sqref="A1"/>
    </sheetView>
  </sheetViews>
  <sheetFormatPr baseColWidth="8" defaultRowHeight="15"/>
  <cols>
    <col width="13" customWidth="1" style="159" min="1" max="1"/>
    <col width="11" customWidth="1" style="159" min="2" max="2"/>
    <col width="44" customWidth="1" style="159" min="4" max="4"/>
    <col width="10" customWidth="1" style="159" min="5" max="5"/>
    <col width="12" customWidth="1" style="159" min="6" max="6"/>
    <col width="9" customWidth="1" style="159" min="7" max="7"/>
    <col width="74" customWidth="1" style="159" min="8" max="8"/>
    <col width="17" customWidth="1" style="159" min="9" max="9"/>
    <col width="18" customWidth="1" style="159" min="11" max="11"/>
  </cols>
  <sheetData>
    <row r="1" ht="15" customHeight="1" s="159">
      <c r="A1" s="151" t="inlineStr">
        <is>
          <t xml:space="preserve">  S01 — 31/08/2026 → 06/09/2026   |     S1 — Transition post-vacances (Z2 pur 70%)</t>
        </is>
      </c>
    </row>
    <row r="2" ht="24" customHeight="1" s="159">
      <c r="A2" s="175" t="n">
        <v>46265</v>
      </c>
      <c r="B2" s="3" t="inlineStr">
        <is>
          <t>Lundi</t>
        </is>
      </c>
      <c r="C2" s="4" t="inlineStr">
        <is>
          <t>Repos</t>
        </is>
      </c>
      <c r="D2" s="5" t="inlineStr">
        <is>
          <t>OFF</t>
        </is>
      </c>
      <c r="E2" s="3" t="inlineStr">
        <is>
          <t>-</t>
        </is>
      </c>
      <c r="F2" s="5" t="inlineStr">
        <is>
          <t>-</t>
        </is>
      </c>
      <c r="G2" s="3" t="n">
        <v>1</v>
      </c>
      <c r="H2" s="6" t="inlineStr">
        <is>
          <t>Début plan IM — Transition post-vacances Grèce
Semaine très légère — reconstruction progressive</t>
        </is>
      </c>
      <c r="I2" s="3" t="n"/>
      <c r="J2" s="3" t="n"/>
      <c r="K2" s="3" t="n"/>
    </row>
    <row r="3" ht="36" customHeight="1" s="159">
      <c r="A3" s="175" t="n">
        <v>46266</v>
      </c>
      <c r="B3" s="3" t="inlineStr">
        <is>
          <t>Mardi</t>
        </is>
      </c>
      <c r="C3" s="7" t="inlineStr">
        <is>
          <t>Course</t>
        </is>
      </c>
      <c r="D3" s="5" t="inlineStr">
        <is>
          <t>EF — transition</t>
        </is>
      </c>
      <c r="E3" s="3" t="n">
        <v>23</v>
      </c>
      <c r="F3" s="5" t="inlineStr">
        <is>
          <t>Z2</t>
        </is>
      </c>
      <c r="G3" s="3" t="n">
        <v>2</v>
      </c>
      <c r="H3" s="6" t="inlineStr">
        <is>
          <t>40' EF Z2 (127-140 bpm)
Pas de qualité — écouter les sensations
Bienvenue dans le plan Ironman 💪</t>
        </is>
      </c>
      <c r="I3" s="3" t="n">
        <v>4</v>
      </c>
      <c r="J3" s="3" t="n"/>
      <c r="K3" s="3" t="n"/>
    </row>
    <row r="4" ht="24" customHeight="1" s="159">
      <c r="A4" s="175" t="n">
        <v>46266</v>
      </c>
      <c r="B4" s="3" t="inlineStr">
        <is>
          <t>Mardi</t>
        </is>
      </c>
      <c r="C4" s="8" t="inlineStr">
        <is>
          <t>Vélo</t>
        </is>
      </c>
      <c r="D4" s="5" t="inlineStr">
        <is>
          <t>Vélo récup Z2</t>
        </is>
      </c>
      <c r="E4" s="3" t="n">
        <v>53</v>
      </c>
      <c r="F4" s="5" t="inlineStr">
        <is>
          <t>Z2</t>
        </is>
      </c>
      <c r="G4" s="3" t="n">
        <v>2</v>
      </c>
      <c r="H4" s="6">
        <f>"29' Z2 très facile (127-140 bpm / "&amp;IF(FTP&gt;0,TEXT(ROUND(FTP*50/500,0)*5,"0"),"?")&amp;"-"&amp;IF(FTP&gt;0,TEXT(ROUND(FTP*60/500,0)*5,"0"),"?")&amp;" W"&amp;") — récupération active"&amp;CHAR(10)&amp;"Cadence souple 85-90 rpm"</f>
        <v/>
      </c>
      <c r="I4" s="3" t="n"/>
      <c r="J4" s="3" t="n">
        <v>24.5</v>
      </c>
      <c r="K4" s="3" t="n"/>
    </row>
    <row r="5" ht="36" customHeight="1" s="159">
      <c r="A5" s="175" t="n">
        <v>46267</v>
      </c>
      <c r="B5" s="3" t="inlineStr">
        <is>
          <t>Mercredi</t>
        </is>
      </c>
      <c r="C5" s="8" t="inlineStr">
        <is>
          <t>Vélo</t>
        </is>
      </c>
      <c r="D5" s="5" t="inlineStr">
        <is>
          <t>Vélo clé — 2x22' @ 91% FTP — r=5'</t>
        </is>
      </c>
      <c r="E5" s="3" t="n">
        <v>107</v>
      </c>
      <c r="F5" s="5" t="inlineStr">
        <is>
          <t>Z2</t>
        </is>
      </c>
      <c r="G5" s="3" t="n">
        <v>3</v>
      </c>
      <c r="H5" s="6">
        <f>"20' EF Z2 | 2x22' @ 91% FTP ("&amp;IF(FTP&gt;0,TEXT(ROUND(FTP*91/500,0)*5,"0"),"?")&amp;" W"&amp;") — r=5' | 10' RC"&amp;CHAR(10)&amp;"FC bloc cible : ~165 bpm (85% FC max) | Cadence : 87-93 rpm"&amp;CHAR(10)&amp;"NUTRITION : 40g glucides/h si &gt;90'"</f>
        <v/>
      </c>
      <c r="I5" s="3" t="n"/>
      <c r="J5" s="3" t="n">
        <v>48.9</v>
      </c>
      <c r="K5" s="3" t="n"/>
    </row>
    <row r="6" ht="24" customHeight="1" s="159">
      <c r="A6" s="175" t="n">
        <v>46268</v>
      </c>
      <c r="B6" s="3" t="inlineStr">
        <is>
          <t>Jeudi</t>
        </is>
      </c>
      <c r="C6" s="7" t="inlineStr">
        <is>
          <t>Course</t>
        </is>
      </c>
      <c r="D6" s="5" t="inlineStr">
        <is>
          <t>EF + strides</t>
        </is>
      </c>
      <c r="E6" s="3" t="n">
        <v>21</v>
      </c>
      <c r="F6" s="5" t="inlineStr">
        <is>
          <t>Z1-Z2</t>
        </is>
      </c>
      <c r="G6" s="3" t="n">
        <v>2</v>
      </c>
      <c r="H6" s="6" t="inlineStr">
        <is>
          <t>24' EF Z2 (127-140 bpm) | 4x20'' strides
Très facile</t>
        </is>
      </c>
      <c r="I6" s="3" t="n">
        <v>3.5</v>
      </c>
      <c r="J6" s="3" t="n"/>
      <c r="K6" s="3" t="n"/>
    </row>
    <row r="7" ht="15" customHeight="1" s="159">
      <c r="A7" s="175" t="n">
        <v>46269</v>
      </c>
      <c r="B7" s="3" t="inlineStr">
        <is>
          <t>Vendredi</t>
        </is>
      </c>
      <c r="C7" s="7" t="inlineStr">
        <is>
          <t>Course</t>
        </is>
      </c>
      <c r="D7" s="5" t="inlineStr">
        <is>
          <t>EF Z2 — court</t>
        </is>
      </c>
      <c r="E7" s="3" t="n">
        <v>36</v>
      </c>
      <c r="F7" s="5" t="inlineStr">
        <is>
          <t>Z2</t>
        </is>
      </c>
      <c r="G7" s="3" t="n">
        <v>2</v>
      </c>
      <c r="H7" s="6" t="inlineStr">
        <is>
          <t>26' EF Z2 (127-140 bpm) | 4x20'' strides en fin</t>
        </is>
      </c>
      <c r="I7" s="3" t="n">
        <v>6</v>
      </c>
      <c r="J7" s="3" t="n"/>
      <c r="K7" s="3" t="n"/>
    </row>
    <row r="8" ht="24" customHeight="1" s="159">
      <c r="A8" s="175" t="n">
        <v>46269</v>
      </c>
      <c r="B8" s="3" t="inlineStr">
        <is>
          <t>Vendredi</t>
        </is>
      </c>
      <c r="C8" s="8" t="inlineStr">
        <is>
          <t>Vélo</t>
        </is>
      </c>
      <c r="D8" s="5" t="inlineStr">
        <is>
          <t>Force très légère</t>
        </is>
      </c>
      <c r="E8" s="3" t="n">
        <v>57</v>
      </c>
      <c r="F8" s="5" t="inlineStr">
        <is>
          <t>Z2</t>
        </is>
      </c>
      <c r="G8" s="3" t="n">
        <v>2</v>
      </c>
      <c r="H8" s="6">
        <f>"10' EF | 4x3' basse cadence (55-62 rpm) @ Z2 ("&amp;IF(FTP&gt;0,TEXT(ROUND(FTP*75/500,0)*5,"0"),"?")&amp;"-"&amp;IF(FTP&gt;0,TEXT(ROUND(FTP*85/500,0)*5,"0"),"?")&amp;" W"&amp;") — r=3' | 10' RC"&amp;CHAR(10)&amp;"FC : 131-155 bpm"</f>
        <v/>
      </c>
      <c r="I8" s="3" t="n"/>
      <c r="J8" s="3" t="n">
        <v>41.6</v>
      </c>
      <c r="K8" s="3" t="n"/>
    </row>
    <row r="9" ht="36" customHeight="1" s="159">
      <c r="A9" s="175" t="n">
        <v>46270</v>
      </c>
      <c r="B9" s="3" t="inlineStr">
        <is>
          <t>Samedi</t>
        </is>
      </c>
      <c r="C9" s="9" t="inlineStr">
        <is>
          <t>Natation</t>
        </is>
      </c>
      <c r="D9" s="5" t="inlineStr">
        <is>
          <t>Natation technique</t>
        </is>
      </c>
      <c r="E9" s="3" t="n">
        <v>67</v>
      </c>
      <c r="F9" s="5" t="inlineStr">
        <is>
          <t>-</t>
        </is>
      </c>
      <c r="G9" s="3" t="n">
        <v>3</v>
      </c>
      <c r="H9" s="6" t="inlineStr">
        <is>
          <t>4x50 facile (108-117 bpm) | 8x50 éducatifs (catch-up/finger drag/sighting/pull buoy)
16x100 pull buoy (135-148 bpm) + 50m | 200 retour
Volume : 2450m</t>
        </is>
      </c>
      <c r="I9" s="3" t="n"/>
      <c r="J9" s="3" t="n"/>
      <c r="K9" s="3" t="n">
        <v>2450</v>
      </c>
    </row>
    <row r="10" ht="24" customHeight="1" s="159">
      <c r="A10" s="175" t="n">
        <v>46270</v>
      </c>
      <c r="B10" s="3" t="inlineStr">
        <is>
          <t>Samedi</t>
        </is>
      </c>
      <c r="C10" s="7" t="inlineStr">
        <is>
          <t>Course</t>
        </is>
      </c>
      <c r="D10" s="5" t="inlineStr">
        <is>
          <t>SORTIE LONGUE Z2 — 20' (3.0 km)</t>
        </is>
      </c>
      <c r="E10" s="3" t="n">
        <v>20</v>
      </c>
      <c r="F10" s="5" t="inlineStr">
        <is>
          <t>Z2</t>
        </is>
      </c>
      <c r="G10" s="3" t="n">
        <v>4</v>
      </c>
      <c r="H10" s="6" t="inlineStr">
        <is>
          <t>20' Z2 (127-140 bpm) — allure conversationnelle
Pas de Z3 — foncier pur</t>
        </is>
      </c>
      <c r="I10" s="3" t="n">
        <v>3</v>
      </c>
      <c r="J10" s="3" t="n">
        <v>65</v>
      </c>
      <c r="K10" s="3" t="n"/>
    </row>
    <row r="11" ht="36" customHeight="1" s="159">
      <c r="A11" s="175" t="n">
        <v>46271</v>
      </c>
      <c r="B11" s="3" t="inlineStr">
        <is>
          <t>Dimanche</t>
        </is>
      </c>
      <c r="C11" s="9" t="inlineStr">
        <is>
          <t>Natation</t>
        </is>
      </c>
      <c r="D11" s="5" t="inlineStr">
        <is>
          <t>Natation endurance</t>
        </is>
      </c>
      <c r="E11" s="3" t="n">
        <v>40</v>
      </c>
      <c r="F11" s="5" t="inlineStr">
        <is>
          <t>-</t>
        </is>
      </c>
      <c r="G11" s="3" t="n">
        <v>3</v>
      </c>
      <c r="H11" s="6" t="inlineStr">
        <is>
          <t>200 EF (110-126 bpm) | 6x300m soutenu (135-148 bpm) (r=20'') + 150m | 200 retour
Allure constante + sighting
Volume : 2350m</t>
        </is>
      </c>
      <c r="I11" s="3" t="n"/>
      <c r="J11" s="3" t="n"/>
      <c r="K11" s="3" t="n">
        <v>2350</v>
      </c>
    </row>
    <row r="12" ht="15" customHeight="1" s="159">
      <c r="A12" s="10" t="n"/>
      <c r="B12" s="10" t="n"/>
      <c r="C12" s="10" t="n"/>
      <c r="D12" s="10" t="n"/>
      <c r="E12" s="10" t="n"/>
      <c r="F12" s="10" t="n"/>
      <c r="G12" s="10" t="n"/>
      <c r="H12" s="11" t="inlineStr">
        <is>
          <t>TOTAL SEMAINE</t>
        </is>
      </c>
      <c r="I12" s="10">
        <f>SUM(I2:I11)</f>
        <v/>
      </c>
      <c r="J12" s="10">
        <f>SUM(J2:J11)</f>
        <v/>
      </c>
      <c r="K12" s="10">
        <f>SUM(K2:K11)</f>
        <v/>
      </c>
    </row>
    <row r="13" ht="15" customHeight="1" s="159">
      <c r="A13" s="156" t="inlineStr">
        <is>
          <t xml:space="preserve">  S02 — 07/09/2026 → 13/09/2026   |     S2 — Reprise progressive (SS léger 80%)</t>
        </is>
      </c>
    </row>
    <row r="14" ht="24" customHeight="1" s="159">
      <c r="A14" s="175" t="n">
        <v>46272</v>
      </c>
      <c r="B14" s="3" t="inlineStr">
        <is>
          <t>Lundi</t>
        </is>
      </c>
      <c r="C14" s="4" t="inlineStr">
        <is>
          <t>Repos</t>
        </is>
      </c>
      <c r="D14" s="5" t="inlineStr">
        <is>
          <t>OFF</t>
        </is>
      </c>
      <c r="E14" s="3" t="inlineStr">
        <is>
          <t>-</t>
        </is>
      </c>
      <c r="F14" s="5" t="inlineStr">
        <is>
          <t>-</t>
        </is>
      </c>
      <c r="G14" s="3" t="n">
        <v>1</v>
      </c>
      <c r="H14" s="6" t="inlineStr">
        <is>
          <t>Repos — semaine 2 de transition
Corp qui reprend le rythme</t>
        </is>
      </c>
      <c r="I14" s="3" t="n"/>
      <c r="J14" s="3" t="n"/>
      <c r="K14" s="3" t="n"/>
    </row>
    <row r="15" ht="96" customHeight="1" s="159">
      <c r="A15" s="175" t="n">
        <v>46273</v>
      </c>
      <c r="B15" s="3" t="inlineStr">
        <is>
          <t>Mardi</t>
        </is>
      </c>
      <c r="C15" s="7" t="inlineStr">
        <is>
          <t>Course</t>
        </is>
      </c>
      <c r="D15" s="5" t="inlineStr">
        <is>
          <t>Qualité — 1km lent/rapide x2 (80/87%)</t>
        </is>
      </c>
      <c r="E15" s="3" t="n">
        <v>43</v>
      </c>
      <c r="F15" s="5" t="inlineStr">
        <is>
          <t>Z3-Z4</t>
        </is>
      </c>
      <c r="G15" s="3" t="n">
        <v>6</v>
      </c>
      <c r="H15" s="6" t="inlineStr">
        <is>
          <t>Objectif : économie de course et relance (alternance lent / rapide)
10' EF Z2 (127-140 bpm)
2 x [1 km à 80% FC max (155 bpm) — 1'15 de repos — 1 km à 87% (169 bpm)]
1'40 de repos entre chaque série
7' EF Z2 (127-140 bpm)</t>
        </is>
      </c>
      <c r="I15" s="3" t="n">
        <v>7</v>
      </c>
      <c r="J15" s="3" t="n"/>
      <c r="K15" s="3" t="n"/>
    </row>
    <row r="16" ht="24" customHeight="1" s="159">
      <c r="A16" s="175" t="n">
        <v>46273</v>
      </c>
      <c r="B16" s="3" t="inlineStr">
        <is>
          <t>Mardi</t>
        </is>
      </c>
      <c r="C16" s="8" t="inlineStr">
        <is>
          <t>Vélo</t>
        </is>
      </c>
      <c r="D16" s="5" t="inlineStr">
        <is>
          <t>Vélo récup Z2</t>
        </is>
      </c>
      <c r="E16" s="3" t="n">
        <v>29</v>
      </c>
      <c r="F16" s="5" t="inlineStr">
        <is>
          <t>Z2</t>
        </is>
      </c>
      <c r="G16" s="3" t="n">
        <v>2</v>
      </c>
      <c r="H16" s="6">
        <f>"38' Z2 très facile (127-140 bpm / "&amp;IF(FTP&gt;0,TEXT(ROUND(FTP*50/500,0)*5,"0"),"?")&amp;"-"&amp;IF(FTP&gt;0,TEXT(ROUND(FTP*60/500,0)*5,"0"),"?")&amp;" W"&amp;") — récupération active"&amp;CHAR(10)&amp;"Cadence souple 85-90 rpm"</f>
        <v/>
      </c>
      <c r="I16" s="3" t="n"/>
      <c r="J16" s="3" t="n">
        <v>13.5</v>
      </c>
      <c r="K16" s="3" t="n"/>
    </row>
    <row r="17" ht="60" customHeight="1" s="159">
      <c r="A17" s="175" t="n">
        <v>46274</v>
      </c>
      <c r="B17" s="3" t="inlineStr">
        <is>
          <t>Mercredi</t>
        </is>
      </c>
      <c r="C17" s="8" t="inlineStr">
        <is>
          <t>Vélo</t>
        </is>
      </c>
      <c r="D17" s="5" t="inlineStr">
        <is>
          <t>Vélo clé — 2x10' @ 89% FTP — r=5'</t>
        </is>
      </c>
      <c r="E17" s="3" t="n">
        <v>59</v>
      </c>
      <c r="F17" s="5" t="inlineStr">
        <is>
          <t>Z3</t>
        </is>
      </c>
      <c r="G17" s="3" t="n">
        <v>5</v>
      </c>
      <c r="H17" s="6">
        <f>"20' EF Z2 (127-140 bpm / "&amp;IF(FTP&gt;0,TEXT(ROUND(FTP*60/500,0)*5,"0"),"?")&amp;"-"&amp;IF(FTP&gt;0,TEXT(ROUND(FTP*70/500,0)*5,"0"),"?")&amp;" W"&amp;") | 2x10' @ 89% FTP ("&amp;IF(FTP&gt;0,TEXT(ROUND(FTP*89/500,0)*5,"0"),"?")&amp;" W"&amp;") — r=5'"&amp;CHAR(10)&amp;"Objectif : développer la puissance au seuil (FTP)"&amp;CHAR(10)&amp;"FC bloc cible : ~161 bpm (83% FC max) | Cadence : 87-93 rpm | RPE 7-8/10"&amp;CHAR(10)&amp;"NUTRITION : 40g glucides/h si &gt;90'"&amp;CHAR(10)&amp;"10' RC (127-140 bpm / "&amp;IF(FTP&gt;0,TEXT(ROUND(FTP*60/500,0)*5,"0"),"?")&amp;"-"&amp;IF(FTP&gt;0,TEXT(ROUND(FTP*70/500,0)*5,"0"),"?")&amp;" W"&amp;")"</f>
        <v/>
      </c>
      <c r="I17" s="3" t="n"/>
      <c r="J17" s="3" t="n">
        <v>27</v>
      </c>
      <c r="K17" s="3" t="n"/>
    </row>
    <row r="18" ht="24" customHeight="1" s="159">
      <c r="A18" s="175" t="n">
        <v>46275</v>
      </c>
      <c r="B18" s="3" t="inlineStr">
        <is>
          <t>Jeudi</t>
        </is>
      </c>
      <c r="C18" s="7" t="inlineStr">
        <is>
          <t>Course</t>
        </is>
      </c>
      <c r="D18" s="5" t="inlineStr">
        <is>
          <t>EF + strides</t>
        </is>
      </c>
      <c r="E18" s="3" t="n">
        <v>18</v>
      </c>
      <c r="F18" s="5" t="inlineStr">
        <is>
          <t>Z1-Z2</t>
        </is>
      </c>
      <c r="G18" s="3" t="n">
        <v>2</v>
      </c>
      <c r="H18" s="6" t="inlineStr">
        <is>
          <t>26' EF Z2 (127-140 bpm) | 4x20'' strides
Jamais &gt; Z2</t>
        </is>
      </c>
      <c r="I18" s="3" t="n">
        <v>3</v>
      </c>
      <c r="J18" s="3" t="n"/>
      <c r="K18" s="3" t="n"/>
    </row>
    <row r="19" ht="48" customHeight="1" s="159">
      <c r="A19" s="175" t="n">
        <v>46276</v>
      </c>
      <c r="B19" s="3" t="inlineStr">
        <is>
          <t>Vendredi</t>
        </is>
      </c>
      <c r="C19" s="8" t="inlineStr">
        <is>
          <t>Vélo</t>
        </is>
      </c>
      <c r="D19" s="5" t="inlineStr">
        <is>
          <t>Force légère</t>
        </is>
      </c>
      <c r="E19" s="3" t="n">
        <v>65</v>
      </c>
      <c r="F19" s="5" t="inlineStr">
        <is>
          <t>Z2-Z3</t>
        </is>
      </c>
      <c r="G19" s="3" t="n">
        <v>3</v>
      </c>
      <c r="H19" s="6">
        <f>"10'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19" s="3" t="n"/>
      <c r="J19" s="3" t="n">
        <v>23</v>
      </c>
      <c r="K19" s="3" t="n"/>
    </row>
    <row r="20" ht="36" customHeight="1" s="159">
      <c r="A20" s="175" t="n">
        <v>46277</v>
      </c>
      <c r="B20" s="3" t="inlineStr">
        <is>
          <t>Samedi</t>
        </is>
      </c>
      <c r="C20" s="9" t="inlineStr">
        <is>
          <t>Natation</t>
        </is>
      </c>
      <c r="D20" s="5" t="inlineStr">
        <is>
          <t>Natation technique</t>
        </is>
      </c>
      <c r="E20" s="3" t="n">
        <v>68</v>
      </c>
      <c r="F20" s="5" t="inlineStr">
        <is>
          <t>-</t>
        </is>
      </c>
      <c r="G20" s="3" t="n">
        <v>3</v>
      </c>
      <c r="H20" s="6" t="inlineStr">
        <is>
          <t>4x50 facile (108-117 bpm) | 12x50 éducatifs (catch-up/finger drag/sighting/pull buoy)
18x100 pull buoy (135-148 bpm) + 50m | 200 retour
Volume : 2850m</t>
        </is>
      </c>
      <c r="I20" s="3" t="n"/>
      <c r="J20" s="3" t="n"/>
      <c r="K20" s="3" t="n">
        <v>2850</v>
      </c>
    </row>
    <row r="21" ht="24" customHeight="1" s="159">
      <c r="A21" s="175" t="n">
        <v>46277</v>
      </c>
      <c r="B21" s="3" t="inlineStr">
        <is>
          <t>Samedi</t>
        </is>
      </c>
      <c r="C21" s="7" t="inlineStr">
        <is>
          <t>Course</t>
        </is>
      </c>
      <c r="D21" s="5" t="inlineStr">
        <is>
          <t>SORTIE LONGUE Z2 — 52' (8.0 km)</t>
        </is>
      </c>
      <c r="E21" s="3" t="n">
        <v>45</v>
      </c>
      <c r="F21" s="5" t="inlineStr">
        <is>
          <t>Z2</t>
        </is>
      </c>
      <c r="G21" s="3" t="n">
        <v>4</v>
      </c>
      <c r="H21" s="6" t="inlineStr">
        <is>
          <t>52' Z2 (127-140 bpm)
Allure conversationnelle — premier vrai long</t>
        </is>
      </c>
      <c r="I21" s="3" t="n">
        <v>8</v>
      </c>
      <c r="J21" s="3" t="n"/>
      <c r="K21" s="3" t="n"/>
    </row>
    <row r="22" ht="36" customHeight="1" s="159">
      <c r="A22" s="175" t="n">
        <v>46278</v>
      </c>
      <c r="B22" s="3" t="inlineStr">
        <is>
          <t>Dimanche</t>
        </is>
      </c>
      <c r="C22" s="8" t="inlineStr">
        <is>
          <t>Vélo</t>
        </is>
      </c>
      <c r="D22" s="5" t="inlineStr">
        <is>
          <t>Sortie longue — 156' (71.5 km)</t>
        </is>
      </c>
      <c r="E22" s="3" t="n">
        <v>156</v>
      </c>
      <c r="F22" s="5" t="inlineStr">
        <is>
          <t>Z2</t>
        </is>
      </c>
      <c r="G22" s="3" t="n">
        <v>4</v>
      </c>
      <c r="H22" s="6">
        <f>"92' Z2 (127-140 bpm / "&amp;IF(FTP&gt;0,TEXT(ROUND(FTP*60/500,0)*5,"0"),"?")&amp;"-"&amp;IF(FTP&gt;0,TEXT(ROUND(FTP*70/500,0)*5,"0"),"?")&amp;" W"&amp;")"&amp;CHAR(10)&amp;"Cadence 85-92 rpm"&amp;CHAR(10)&amp;"NUTRITION : 40g glucides/h si &gt;60'"</f>
        <v/>
      </c>
      <c r="I22" s="3" t="n"/>
      <c r="J22" s="3" t="n">
        <v>71.5</v>
      </c>
      <c r="K22" s="3" t="n"/>
    </row>
    <row r="23" ht="36" customHeight="1" s="159">
      <c r="A23" s="175" t="n">
        <v>46278</v>
      </c>
      <c r="B23" s="3" t="inlineStr">
        <is>
          <t>Dimanche</t>
        </is>
      </c>
      <c r="C23" s="9" t="inlineStr">
        <is>
          <t>Natation</t>
        </is>
      </c>
      <c r="D23" s="5" t="inlineStr">
        <is>
          <t>Natation endurance</t>
        </is>
      </c>
      <c r="E23" s="3" t="n">
        <v>40</v>
      </c>
      <c r="F23" s="5" t="inlineStr">
        <is>
          <t>-</t>
        </is>
      </c>
      <c r="G23" s="3" t="n">
        <v>3</v>
      </c>
      <c r="H23" s="6" t="inlineStr">
        <is>
          <t>200 EF (110-126 bpm) | 7x300m soutenu (135-148 bpm) (r=20'') + 250m | 200 retour
Allure constante + sighting
Volume : 2750m</t>
        </is>
      </c>
      <c r="I23" s="3" t="n"/>
      <c r="J23" s="3" t="n"/>
      <c r="K23" s="3" t="n">
        <v>2750</v>
      </c>
    </row>
    <row r="24" ht="15" customHeight="1" s="159">
      <c r="A24" s="10" t="n"/>
      <c r="B24" s="10" t="n"/>
      <c r="C24" s="10" t="n"/>
      <c r="D24" s="10" t="n"/>
      <c r="E24" s="10" t="n"/>
      <c r="F24" s="10" t="n"/>
      <c r="G24" s="10" t="n"/>
      <c r="H24" s="11" t="inlineStr">
        <is>
          <t>TOTAL SEMAINE</t>
        </is>
      </c>
      <c r="I24" s="10">
        <f>SUM(I14:I23)</f>
        <v/>
      </c>
      <c r="J24" s="10">
        <f>SUM(J14:J23)</f>
        <v/>
      </c>
      <c r="K24" s="10">
        <f>SUM(K14:K23)</f>
        <v/>
      </c>
    </row>
    <row r="25" ht="15" customHeight="1" s="159">
      <c r="A25" s="152" t="inlineStr">
        <is>
          <t xml:space="preserve">  S03 — 14/09/2026 → 20/09/2026   |     Phase 1 — Base (Deload -38%)</t>
        </is>
      </c>
    </row>
    <row r="26" ht="15" customHeight="1" s="159">
      <c r="A26" s="175" t="n">
        <v>46279</v>
      </c>
      <c r="B26" s="3" t="inlineStr">
        <is>
          <t>Lundi</t>
        </is>
      </c>
      <c r="C26" s="4" t="inlineStr">
        <is>
          <t>Repos</t>
        </is>
      </c>
      <c r="D26" s="5" t="inlineStr">
        <is>
          <t>OFF</t>
        </is>
      </c>
      <c r="E26" s="3" t="inlineStr">
        <is>
          <t>-</t>
        </is>
      </c>
      <c r="F26" s="5" t="inlineStr">
        <is>
          <t>-</t>
        </is>
      </c>
      <c r="G26" s="3" t="n">
        <v>1</v>
      </c>
      <c r="H26" s="6" t="inlineStr">
        <is>
          <t>Repos complet</t>
        </is>
      </c>
      <c r="I26" s="3" t="n"/>
      <c r="J26" s="3" t="n"/>
      <c r="K26" s="3" t="n"/>
    </row>
    <row r="27" ht="120" customHeight="1" s="159">
      <c r="A27" s="175" t="n">
        <v>46280</v>
      </c>
      <c r="B27" s="3" t="inlineStr">
        <is>
          <t>Mardi</t>
        </is>
      </c>
      <c r="C27" s="7" t="inlineStr">
        <is>
          <t>Course</t>
        </is>
      </c>
      <c r="D27" s="5" t="inlineStr">
        <is>
          <t>Qualité — 1km lent/rapide x1 (80/87%) — décharge</t>
        </is>
      </c>
      <c r="E27" s="3" t="n">
        <v>30</v>
      </c>
      <c r="F27" s="5" t="inlineStr">
        <is>
          <t>Z3-Z4</t>
        </is>
      </c>
      <c r="G27" s="3" t="n">
        <v>6</v>
      </c>
      <c r="H27" s="6" t="inlineStr">
        <is>
          <t>Objectif : économie de course et relance (alternance lent / rapide)
11' EF Z2 (127-140 bpm)
1 x [1 km à 80% FC max (155 bpm) — 1'15 de repos — 1 km à 87% (169 bpm)]
1'40 de repos entre chaque série
7' EF Z2 (127-140 bpm)
Décharge : même type de séance que le bloc précédent, volume de qualité réduit</t>
        </is>
      </c>
      <c r="I27" s="3" t="n">
        <v>5</v>
      </c>
      <c r="J27" s="3" t="n"/>
      <c r="K27" s="3" t="n"/>
    </row>
    <row r="28" ht="24" customHeight="1" s="159">
      <c r="A28" s="175" t="n">
        <v>46280</v>
      </c>
      <c r="B28" s="3" t="inlineStr">
        <is>
          <t>Mardi</t>
        </is>
      </c>
      <c r="C28" s="8" t="inlineStr">
        <is>
          <t>Vélo</t>
        </is>
      </c>
      <c r="D28" s="5" t="inlineStr">
        <is>
          <t>Vélo récupération Z2</t>
        </is>
      </c>
      <c r="E28" s="3" t="n">
        <v>42</v>
      </c>
      <c r="F28" s="5" t="inlineStr">
        <is>
          <t>Z2</t>
        </is>
      </c>
      <c r="G28" s="3" t="n">
        <v>2</v>
      </c>
      <c r="H28" s="6">
        <f>"24' Z2 très facile (127-140 bpm / "&amp;IF(FTP&gt;0,TEXT(ROUND(FTP*50/500,0)*5,"0"),"?")&amp;"-"&amp;IF(FTP&gt;0,TEXT(ROUND(FTP*60/500,0)*5,"0"),"?")&amp;" W"&amp;") — récupération active"&amp;CHAR(10)&amp;"Cadence souple 85-90 rpm"</f>
        <v/>
      </c>
      <c r="I28" s="3" t="n"/>
      <c r="J28" s="3" t="n">
        <v>19.1</v>
      </c>
      <c r="K28" s="3" t="n"/>
    </row>
    <row r="29" ht="60" customHeight="1" s="159">
      <c r="A29" s="175" t="n">
        <v>46281</v>
      </c>
      <c r="B29" s="3" t="inlineStr">
        <is>
          <t>Mercredi</t>
        </is>
      </c>
      <c r="C29" s="8" t="inlineStr">
        <is>
          <t>Vélo</t>
        </is>
      </c>
      <c r="D29" s="5" t="inlineStr">
        <is>
          <t>Vélo clé — 2x9' @ 88% FTP — r=5'</t>
        </is>
      </c>
      <c r="E29" s="3" t="n">
        <v>83</v>
      </c>
      <c r="F29" s="5" t="inlineStr">
        <is>
          <t>Z3</t>
        </is>
      </c>
      <c r="G29" s="3" t="n">
        <v>5</v>
      </c>
      <c r="H29" s="6">
        <f>"20' EF Z2 (127-140 bpm / "&amp;IF(FTP&gt;0,TEXT(ROUND(FTP*60/500,0)*5,"0"),"?")&amp;"-"&amp;IF(FTP&gt;0,TEXT(ROUND(FTP*70/500,0)*5,"0"),"?")&amp;" W"&amp;") | 2x9' @ 88% FTP ("&amp;IF(FTP&gt;0,TEXT(ROUND(FTP*88/500,0)*5,"0"),"?")&amp;" W"&amp;") — r=5'"&amp;CHAR(10)&amp;"Objectif : développer la puissance au seuil (FTP)"&amp;CHAR(10)&amp;"FC bloc cible : ~159 bpm (82% FC max) | Cadence : 87-93 rpm | RPE 7-8/10"&amp;CHAR(10)&amp;"NUTRITION : 40g glucides/h si &gt;90'"&amp;CHAR(10)&amp;"10' RC (127-140 bpm / "&amp;IF(FTP&gt;0,TEXT(ROUND(FTP*60/500,0)*5,"0"),"?")&amp;"-"&amp;IF(FTP&gt;0,TEXT(ROUND(FTP*70/500,0)*5,"0"),"?")&amp;" W"&amp;")"</f>
        <v/>
      </c>
      <c r="I29" s="3" t="n"/>
      <c r="J29" s="3" t="n">
        <v>38.3</v>
      </c>
      <c r="K29" s="3" t="n"/>
    </row>
    <row r="30" ht="24" customHeight="1" s="159">
      <c r="A30" s="175" t="n">
        <v>46282</v>
      </c>
      <c r="B30" s="3" t="inlineStr">
        <is>
          <t>Jeudi</t>
        </is>
      </c>
      <c r="C30" s="7" t="inlineStr">
        <is>
          <t>Course</t>
        </is>
      </c>
      <c r="D30" s="5" t="inlineStr">
        <is>
          <t>EF + strides</t>
        </is>
      </c>
      <c r="E30" s="3" t="n">
        <v>18</v>
      </c>
      <c r="F30" s="5" t="inlineStr">
        <is>
          <t>Z1-Z2</t>
        </is>
      </c>
      <c r="G30" s="3" t="n">
        <v>2</v>
      </c>
      <c r="H30" s="6" t="inlineStr">
        <is>
          <t>26' EF Z2 (127-140 bpm) | 4x20'' strides
Jamais &gt; Z2</t>
        </is>
      </c>
      <c r="I30" s="3" t="n">
        <v>4</v>
      </c>
      <c r="J30" s="3" t="n"/>
      <c r="K30" s="3" t="n"/>
    </row>
    <row r="31" ht="36" customHeight="1" s="159">
      <c r="A31" s="175" t="n">
        <v>46282</v>
      </c>
      <c r="B31" s="3" t="inlineStr">
        <is>
          <t>Jeudi</t>
        </is>
      </c>
      <c r="C31" s="9" t="inlineStr">
        <is>
          <t>Natation</t>
        </is>
      </c>
      <c r="D31" s="5" t="inlineStr">
        <is>
          <t>Natation technique pré-course</t>
        </is>
      </c>
      <c r="E31" s="3" t="n">
        <v>73</v>
      </c>
      <c r="F31" s="5" t="inlineStr">
        <is>
          <t>-</t>
        </is>
      </c>
      <c r="G31" s="3" t="n">
        <v>3</v>
      </c>
      <c r="H31" s="6" t="inlineStr">
        <is>
          <t>4x50 facile (108-117 bpm) | 7x50 éducatifs (catch-up/finger drag/sighting/pull buoy)
8x100 pull buoy (135-148 bpm) + 50m | 200 retour
Volume : 1600m</t>
        </is>
      </c>
      <c r="I31" s="3" t="n"/>
      <c r="J31" s="3" t="n"/>
      <c r="K31" s="3" t="n">
        <v>1600</v>
      </c>
    </row>
    <row r="32" ht="48" customHeight="1" s="159">
      <c r="A32" s="175" t="n">
        <v>46283</v>
      </c>
      <c r="B32" s="3" t="inlineStr">
        <is>
          <t>Vendredi</t>
        </is>
      </c>
      <c r="C32" s="8" t="inlineStr">
        <is>
          <t>Vélo</t>
        </is>
      </c>
      <c r="D32" s="5" t="inlineStr">
        <is>
          <t>Force spécifique</t>
        </is>
      </c>
      <c r="E32" s="3" t="n">
        <v>65</v>
      </c>
      <c r="F32" s="5" t="inlineStr">
        <is>
          <t>Z2-Z3</t>
        </is>
      </c>
      <c r="G32" s="3" t="n">
        <v>3</v>
      </c>
      <c r="H32" s="6">
        <f>"10'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32" s="3" t="n"/>
      <c r="J32" s="3" t="n">
        <v>32.6</v>
      </c>
      <c r="K32" s="3" t="n"/>
    </row>
    <row r="33" ht="15" customHeight="1" s="159">
      <c r="A33" s="175" t="n">
        <v>46284</v>
      </c>
      <c r="B33" s="3" t="inlineStr">
        <is>
          <t>Samedi</t>
        </is>
      </c>
      <c r="C33" s="4" t="inlineStr">
        <is>
          <t>Repos</t>
        </is>
      </c>
      <c r="D33" s="5" t="inlineStr">
        <is>
          <t>OFF</t>
        </is>
      </c>
      <c r="E33" s="3" t="inlineStr">
        <is>
          <t>-</t>
        </is>
      </c>
      <c r="F33" s="5" t="inlineStr">
        <is>
          <t>-</t>
        </is>
      </c>
      <c r="G33" s="3" t="n">
        <v>1</v>
      </c>
      <c r="H33" s="6" t="inlineStr">
        <is>
          <t>Repos complet</t>
        </is>
      </c>
      <c r="I33" s="3" t="n"/>
      <c r="J33" s="3" t="n"/>
      <c r="K33" s="3" t="n"/>
    </row>
    <row r="34" ht="15" customHeight="1" s="159">
      <c r="A34" s="175" t="n">
        <v>46285</v>
      </c>
      <c r="B34" s="3" t="inlineStr">
        <is>
          <t>Dimanche</t>
        </is>
      </c>
      <c r="C34" s="12" t="inlineStr">
        <is>
          <t>Course</t>
        </is>
      </c>
      <c r="D34" s="5" t="inlineStr">
        <is>
          <t>COMPETITION — Triathlon M (nat+vélo+course)</t>
        </is>
      </c>
      <c r="E34" s="3" t="inlineStr">
        <is>
          <t>-</t>
        </is>
      </c>
      <c r="F34" s="5" t="inlineStr">
        <is>
          <t>-</t>
        </is>
      </c>
      <c r="G34" s="3" t="n">
        <v>4</v>
      </c>
      <c r="H34" s="6" t="inlineStr">
        <is>
          <t>Format M : 1.5km nat + 40km vélo + 10km course</t>
        </is>
      </c>
      <c r="I34" s="3" t="n">
        <v>10</v>
      </c>
      <c r="J34" s="3" t="n">
        <v>40</v>
      </c>
      <c r="K34" s="3" t="n">
        <v>1500</v>
      </c>
    </row>
    <row r="35" ht="15" customHeight="1" s="159">
      <c r="A35" s="10" t="n"/>
      <c r="B35" s="10" t="n"/>
      <c r="C35" s="10" t="n"/>
      <c r="D35" s="10" t="n"/>
      <c r="E35" s="10" t="n"/>
      <c r="F35" s="10" t="n"/>
      <c r="G35" s="10" t="n"/>
      <c r="H35" s="11" t="inlineStr">
        <is>
          <t>TOTAL SEMAINE</t>
        </is>
      </c>
      <c r="I35" s="10">
        <f>SUM(I26:I34)</f>
        <v/>
      </c>
      <c r="J35" s="10">
        <f>SUM(J26:J34)</f>
        <v/>
      </c>
      <c r="K35" s="10">
        <f>SUM(K26:K34)</f>
        <v/>
      </c>
    </row>
    <row r="36" ht="15" customHeight="1" s="159">
      <c r="A36" s="146" t="inlineStr">
        <is>
          <t xml:space="preserve">  S04 — 21/09/2026 → 27/09/2026   |     Phase 1 — Base</t>
        </is>
      </c>
    </row>
    <row r="37" ht="15" customHeight="1" s="159">
      <c r="A37" s="175" t="n">
        <v>46286</v>
      </c>
      <c r="B37" s="3" t="inlineStr">
        <is>
          <t>Lundi</t>
        </is>
      </c>
      <c r="C37" s="4" t="inlineStr">
        <is>
          <t>Repos</t>
        </is>
      </c>
      <c r="D37" s="5" t="inlineStr">
        <is>
          <t>OFF</t>
        </is>
      </c>
      <c r="E37" s="3" t="inlineStr">
        <is>
          <t>-</t>
        </is>
      </c>
      <c r="F37" s="5" t="inlineStr">
        <is>
          <t>-</t>
        </is>
      </c>
      <c r="G37" s="3" t="n">
        <v>1</v>
      </c>
      <c r="H37" s="6" t="inlineStr">
        <is>
          <t>Repos complet</t>
        </is>
      </c>
      <c r="I37" s="3" t="n"/>
      <c r="J37" s="3" t="n"/>
      <c r="K37" s="3" t="n"/>
    </row>
    <row r="38" ht="120" customHeight="1" s="159">
      <c r="A38" s="175" t="n">
        <v>46287</v>
      </c>
      <c r="B38" s="3" t="inlineStr">
        <is>
          <t>Mardi</t>
        </is>
      </c>
      <c r="C38" s="7" t="inlineStr">
        <is>
          <t>Course</t>
        </is>
      </c>
      <c r="D38" s="5" t="inlineStr">
        <is>
          <t>Tempo — Progressif 3x9' (80/85/90%)</t>
        </is>
      </c>
      <c r="E38" s="3" t="n">
        <v>42</v>
      </c>
      <c r="F38" s="5" t="inlineStr">
        <is>
          <t>Z3-Z4</t>
        </is>
      </c>
      <c r="G38" s="3" t="n">
        <v>6</v>
      </c>
      <c r="H38" s="6" t="inlineStr">
        <is>
          <t>Objectif : progression SV1 → SV2, endurance de seuil
9' EF Z2 (127-140 bpm) + 2-4 lignes droites
9' à 80% FC max (155 bpm)
9' à 85% FC max (165 bpm)
9' à 90% FC max (175 bpm)
(enchaînés, sans repos)
6' EF Z2 (127-140 bpm)</t>
        </is>
      </c>
      <c r="I38" s="3" t="n">
        <v>7.5</v>
      </c>
      <c r="J38" s="3" t="n"/>
      <c r="K38" s="3" t="n"/>
    </row>
    <row r="39" ht="24" customHeight="1" s="159">
      <c r="A39" s="175" t="n">
        <v>46287</v>
      </c>
      <c r="B39" s="3" t="inlineStr">
        <is>
          <t>Mardi</t>
        </is>
      </c>
      <c r="C39" s="8" t="inlineStr">
        <is>
          <t>Vélo</t>
        </is>
      </c>
      <c r="D39" s="5" t="inlineStr">
        <is>
          <t>Vélo récupération Z2</t>
        </is>
      </c>
      <c r="E39" s="3" t="n">
        <v>43</v>
      </c>
      <c r="F39" s="5" t="inlineStr">
        <is>
          <t>Z2</t>
        </is>
      </c>
      <c r="G39" s="3" t="n">
        <v>2</v>
      </c>
      <c r="H39" s="6">
        <f>"33' Z2 très facile (127-140 bpm / "&amp;IF(FTP&gt;0,TEXT(ROUND(FTP*50/500,0)*5,"0"),"?")&amp;"-"&amp;IF(FTP&gt;0,TEXT(ROUND(FTP*60/500,0)*5,"0"),"?")&amp;" W"&amp;") — récupération active"&amp;CHAR(10)&amp;"Cadence souple 85-90 rpm"</f>
        <v/>
      </c>
      <c r="I39" s="3" t="n"/>
      <c r="J39" s="3" t="n">
        <v>20</v>
      </c>
      <c r="K39" s="3" t="n"/>
    </row>
    <row r="40" ht="60" customHeight="1" s="159">
      <c r="A40" s="175" t="n">
        <v>46288</v>
      </c>
      <c r="B40" s="3" t="inlineStr">
        <is>
          <t>Mercredi</t>
        </is>
      </c>
      <c r="C40" s="8" t="inlineStr">
        <is>
          <t>Vélo</t>
        </is>
      </c>
      <c r="D40" s="5" t="inlineStr">
        <is>
          <t>Vélo clé — 3x9' @ 92% FTP — r=5'</t>
        </is>
      </c>
      <c r="E40" s="3" t="n">
        <v>87</v>
      </c>
      <c r="F40" s="5" t="inlineStr">
        <is>
          <t>Z3</t>
        </is>
      </c>
      <c r="G40" s="3" t="n">
        <v>7</v>
      </c>
      <c r="H40" s="6">
        <f>"20' EF Z2 (127-140 bpm / "&amp;IF(FTP&gt;0,TEXT(ROUND(FTP*60/500,0)*5,"0"),"?")&amp;"-"&amp;IF(FTP&gt;0,TEXT(ROUND(FTP*70/500,0)*5,"0"),"?")&amp;" W"&amp;") | 3x9' @ 92% FTP ("&amp;IF(FTP&gt;0,TEXT(ROUND(FTP*92/500,0)*5,"0"),"?")&amp;" W"&amp;") — r=5'"&amp;CHAR(10)&amp;"Objectif : développer la puissance au seuil (FTP)"&amp;CHAR(10)&amp;"FC bloc cible : ~167 bpm (86% FC max) | Cadence : 87-93 rpm | RPE 7-8/10"&amp;CHAR(10)&amp;"NUTRITION : 40g glucides/h si &gt;90'"&amp;CHAR(10)&amp;"10' RC (127-140 bpm / "&amp;IF(FTP&gt;0,TEXT(ROUND(FTP*60/500,0)*5,"0"),"?")&amp;"-"&amp;IF(FTP&gt;0,TEXT(ROUND(FTP*70/500,0)*5,"0"),"?")&amp;" W"&amp;")"</f>
        <v/>
      </c>
      <c r="I40" s="3" t="n"/>
      <c r="J40" s="3" t="n">
        <v>40</v>
      </c>
      <c r="K40" s="3" t="n"/>
    </row>
    <row r="41" ht="36" customHeight="1" s="159">
      <c r="A41" s="175" t="n">
        <v>46289</v>
      </c>
      <c r="B41" s="3" t="inlineStr">
        <is>
          <t>Jeudi</t>
        </is>
      </c>
      <c r="C41" s="9" t="inlineStr">
        <is>
          <t>Natation</t>
        </is>
      </c>
      <c r="D41" s="5" t="inlineStr">
        <is>
          <t>Natation endurance</t>
        </is>
      </c>
      <c r="E41" s="3" t="n">
        <v>30</v>
      </c>
      <c r="F41" s="5" t="inlineStr">
        <is>
          <t>-</t>
        </is>
      </c>
      <c r="G41" s="3" t="n">
        <v>4</v>
      </c>
      <c r="H41" s="6" t="inlineStr">
        <is>
          <t>200 EF (110-126 bpm) | 4x300m soutenu (135-148 bpm) (r=20'') + 150m | 200 retour
Allure constante + sighting
Volume : 1750m</t>
        </is>
      </c>
      <c r="I41" s="3" t="n"/>
      <c r="J41" s="3" t="n"/>
      <c r="K41" s="3" t="n">
        <v>1750</v>
      </c>
    </row>
    <row r="42" ht="36" customHeight="1" s="159">
      <c r="A42" s="175" t="n">
        <v>46289</v>
      </c>
      <c r="B42" s="3" t="inlineStr">
        <is>
          <t>Jeudi</t>
        </is>
      </c>
      <c r="C42" s="7" t="inlineStr">
        <is>
          <t>Course</t>
        </is>
      </c>
      <c r="D42" s="5" t="inlineStr">
        <is>
          <t>EF Z2 + accélérations</t>
        </is>
      </c>
      <c r="E42" s="3" t="n">
        <v>31</v>
      </c>
      <c r="F42" s="5" t="inlineStr">
        <is>
          <t>Z1-Z2</t>
        </is>
      </c>
      <c r="G42" s="3" t="n">
        <v>2</v>
      </c>
      <c r="H42" s="6" t="inlineStr">
        <is>
          <t>51' EF Z2 (127-140 bpm)
6x20'' accélérations en fin — allure libre
Très facile, aucune pression chrono</t>
        </is>
      </c>
      <c r="I42" s="3" t="n">
        <v>5</v>
      </c>
      <c r="J42" s="3" t="n"/>
      <c r="K42" s="3" t="n"/>
    </row>
    <row r="43" ht="48" customHeight="1" s="159">
      <c r="A43" s="175" t="n">
        <v>46290</v>
      </c>
      <c r="B43" s="3" t="inlineStr">
        <is>
          <t>Vendredi</t>
        </is>
      </c>
      <c r="C43" s="8" t="inlineStr">
        <is>
          <t>Vélo</t>
        </is>
      </c>
      <c r="D43" s="5" t="inlineStr">
        <is>
          <t>Force spécifique</t>
        </is>
      </c>
      <c r="E43" s="3" t="n">
        <v>95</v>
      </c>
      <c r="F43" s="5" t="inlineStr">
        <is>
          <t>Z2-Z3</t>
        </is>
      </c>
      <c r="G43" s="3" t="n">
        <v>5</v>
      </c>
      <c r="H43" s="6">
        <f>"10'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43" s="3" t="n"/>
      <c r="J43" s="3" t="n">
        <v>34</v>
      </c>
      <c r="K43" s="3" t="n"/>
    </row>
    <row r="44" ht="36" customHeight="1" s="159">
      <c r="A44" s="175" t="n">
        <v>46291</v>
      </c>
      <c r="B44" s="3" t="inlineStr">
        <is>
          <t>Samedi</t>
        </is>
      </c>
      <c r="C44" s="9" t="inlineStr">
        <is>
          <t>Natation</t>
        </is>
      </c>
      <c r="D44" s="5" t="inlineStr">
        <is>
          <t>Natation technique</t>
        </is>
      </c>
      <c r="E44" s="3" t="n">
        <v>51</v>
      </c>
      <c r="F44" s="5" t="inlineStr">
        <is>
          <t>-</t>
        </is>
      </c>
      <c r="G44" s="3" t="n">
        <v>3</v>
      </c>
      <c r="H44" s="6" t="inlineStr">
        <is>
          <t>4x50 facile (108-117 bpm) | 12x50 éducatifs (catch-up/finger drag/sighting/pull buoy)
19x100 pull buoy (135-148 bpm) + 50m | 200 retour
Volume : 2950m</t>
        </is>
      </c>
      <c r="I44" s="3" t="n"/>
      <c r="J44" s="3" t="n"/>
      <c r="K44" s="3" t="n">
        <v>2950</v>
      </c>
    </row>
    <row r="45" ht="24" customHeight="1" s="159">
      <c r="A45" s="175" t="n">
        <v>46291</v>
      </c>
      <c r="B45" s="3" t="inlineStr">
        <is>
          <t>Samedi</t>
        </is>
      </c>
      <c r="C45" s="7" t="inlineStr">
        <is>
          <t>Course</t>
        </is>
      </c>
      <c r="D45" s="5" t="inlineStr">
        <is>
          <t>SORTIE LONGUE Z2 — 52' (8.0 km)</t>
        </is>
      </c>
      <c r="E45" s="3" t="n">
        <v>48</v>
      </c>
      <c r="F45" s="5" t="inlineStr">
        <is>
          <t>Z2</t>
        </is>
      </c>
      <c r="G45" s="3" t="n">
        <v>5</v>
      </c>
      <c r="H45" s="6" t="inlineStr">
        <is>
          <t>Z2 52' stable (127-140 bpm)
Allure conversationnelle — cadence 170-175 spm</t>
        </is>
      </c>
      <c r="I45" s="3" t="n">
        <v>8</v>
      </c>
      <c r="J45" s="3" t="n"/>
      <c r="K45" s="3" t="n"/>
    </row>
    <row r="46" ht="36" customHeight="1" s="159">
      <c r="A46" s="175" t="n">
        <v>46292</v>
      </c>
      <c r="B46" s="3" t="inlineStr">
        <is>
          <t>Dimanche</t>
        </is>
      </c>
      <c r="C46" s="8" t="inlineStr">
        <is>
          <t>Vélo</t>
        </is>
      </c>
      <c r="D46" s="5" t="inlineStr">
        <is>
          <t>Sortie longue — 230' (106.0 km)</t>
        </is>
      </c>
      <c r="E46" s="3" t="n">
        <v>230</v>
      </c>
      <c r="F46" s="5" t="inlineStr">
        <is>
          <t>Z2-Z3</t>
        </is>
      </c>
      <c r="G46" s="3" t="n">
        <v>6</v>
      </c>
      <c r="H46" s="6">
        <f>"94' Z2 (127-140 bpm / "&amp;IF(FTP&gt;0,TEXT(ROUND(FTP*60/500,0)*5,"0"),"?")&amp;"-"&amp;IF(FTP&gt;0,TEXT(ROUND(FTP*70/500,0)*5,"0"),"?")&amp;" W"&amp;")"&amp;CHAR(10)&amp;"Cadence 85-92 rpm"&amp;CHAR(10)&amp;"NUTRITION : 40g glucides/h si &gt;60'"</f>
        <v/>
      </c>
      <c r="I46" s="3" t="n"/>
      <c r="J46" s="3" t="n">
        <v>106</v>
      </c>
      <c r="K46" s="3" t="n"/>
    </row>
    <row r="47" ht="36" customHeight="1" s="159">
      <c r="A47" s="175" t="n">
        <v>46292</v>
      </c>
      <c r="B47" s="3" t="inlineStr">
        <is>
          <t>Dimanche</t>
        </is>
      </c>
      <c r="C47" s="9" t="inlineStr">
        <is>
          <t>Natation</t>
        </is>
      </c>
      <c r="D47" s="5" t="inlineStr">
        <is>
          <t>Natation endurance</t>
        </is>
      </c>
      <c r="E47" s="3" t="n">
        <v>18</v>
      </c>
      <c r="F47" s="5" t="inlineStr">
        <is>
          <t>-</t>
        </is>
      </c>
      <c r="G47" s="3" t="n">
        <v>4</v>
      </c>
      <c r="H47" s="6" t="inlineStr">
        <is>
          <t>200 EF (110-126 bpm) | 2x300m soutenu (135-148 bpm) (r=20'') | 200 retour
Allure constante + sighting
Volume : 1000m</t>
        </is>
      </c>
      <c r="I47" s="3" t="n"/>
      <c r="J47" s="3" t="n"/>
      <c r="K47" s="3" t="n">
        <v>1000</v>
      </c>
    </row>
    <row r="48" ht="15" customHeight="1" s="159">
      <c r="A48" s="10" t="n"/>
      <c r="B48" s="10" t="n"/>
      <c r="C48" s="10" t="n"/>
      <c r="D48" s="10" t="n"/>
      <c r="E48" s="10" t="n"/>
      <c r="F48" s="10" t="n"/>
      <c r="G48" s="10" t="n"/>
      <c r="H48" s="11" t="inlineStr">
        <is>
          <t>TOTAL SEMAINE</t>
        </is>
      </c>
      <c r="I48" s="10">
        <f>SUM(I37:I47)</f>
        <v/>
      </c>
      <c r="J48" s="10">
        <f>SUM(J37:J47)</f>
        <v/>
      </c>
      <c r="K48" s="10">
        <f>SUM(K37:K47)</f>
        <v/>
      </c>
    </row>
    <row r="49" ht="15" customHeight="1" s="159">
      <c r="A49" s="152" t="inlineStr">
        <is>
          <t xml:space="preserve">  S05 — 28/09/2026 → 04/10/2026   |     Phase 1 — Base (Deload)</t>
        </is>
      </c>
    </row>
    <row r="50" ht="15" customHeight="1" s="159">
      <c r="A50" s="175" t="n">
        <v>46293</v>
      </c>
      <c r="B50" s="3" t="inlineStr">
        <is>
          <t>Lundi</t>
        </is>
      </c>
      <c r="C50" s="4" t="inlineStr">
        <is>
          <t>Repos</t>
        </is>
      </c>
      <c r="D50" s="5" t="inlineStr">
        <is>
          <t>OFF</t>
        </is>
      </c>
      <c r="E50" s="3" t="inlineStr">
        <is>
          <t>-</t>
        </is>
      </c>
      <c r="F50" s="5" t="inlineStr">
        <is>
          <t>-</t>
        </is>
      </c>
      <c r="G50" s="3" t="n">
        <v>1</v>
      </c>
      <c r="H50" s="6" t="inlineStr">
        <is>
          <t>Repos complet</t>
        </is>
      </c>
      <c r="I50" s="3" t="n"/>
      <c r="J50" s="3" t="n"/>
      <c r="K50" s="3" t="n"/>
    </row>
    <row r="51" ht="132" customHeight="1" s="159">
      <c r="A51" s="175" t="n">
        <v>46294</v>
      </c>
      <c r="B51" s="3" t="inlineStr">
        <is>
          <t>Mardi</t>
        </is>
      </c>
      <c r="C51" s="7" t="inlineStr">
        <is>
          <t>Course</t>
        </is>
      </c>
      <c r="D51" s="5" t="inlineStr">
        <is>
          <t>Tempo — Progressif 2x7' (80/85%) — décharge</t>
        </is>
      </c>
      <c r="E51" s="3" t="n">
        <v>33</v>
      </c>
      <c r="F51" s="5" t="inlineStr">
        <is>
          <t>Z3-Z4</t>
        </is>
      </c>
      <c r="G51" s="3" t="n">
        <v>6</v>
      </c>
      <c r="H51" s="6" t="inlineStr">
        <is>
          <t>Objectif : progression SV1 → SV2, endurance de seuil
11' EF Z2 (127-140 bpm) + 2-4 lignes droites
7' à 80% FC max (155 bpm)
7' à 85% FC max (165 bpm)
(enchaînés, sans repos)
8' EF Z2 (127-140 bpm)
Décharge : même type de séance que le bloc précédent, volume de qualité réduit</t>
        </is>
      </c>
      <c r="I51" s="3" t="n">
        <v>6</v>
      </c>
      <c r="J51" s="3" t="n"/>
      <c r="K51" s="3" t="n"/>
    </row>
    <row r="52" ht="24" customHeight="1" s="159">
      <c r="A52" s="175" t="n">
        <v>46294</v>
      </c>
      <c r="B52" s="3" t="inlineStr">
        <is>
          <t>Mardi</t>
        </is>
      </c>
      <c r="C52" s="8" t="inlineStr">
        <is>
          <t>Vélo</t>
        </is>
      </c>
      <c r="D52" s="5" t="inlineStr">
        <is>
          <t>Vélo récupération Z2</t>
        </is>
      </c>
      <c r="E52" s="3" t="n">
        <v>52</v>
      </c>
      <c r="F52" s="5" t="inlineStr">
        <is>
          <t>Z2</t>
        </is>
      </c>
      <c r="G52" s="3" t="n">
        <v>2</v>
      </c>
      <c r="H52" s="6">
        <f>"52' Z2 très facile (127-140 bpm / "&amp;IF(FTP&gt;0,TEXT(ROUND(FTP*50/500,0)*5,"0"),"?")&amp;"-"&amp;IF(FTP&gt;0,TEXT(ROUND(FTP*60/500,0)*5,"0"),"?")&amp;" W"&amp;") — récupération active"&amp;CHAR(10)&amp;"Cadence souple 85-90 rpm"</f>
        <v/>
      </c>
      <c r="I52" s="3" t="n"/>
      <c r="J52" s="3" t="n">
        <v>21</v>
      </c>
      <c r="K52" s="3" t="n"/>
    </row>
    <row r="53" ht="60" customHeight="1" s="159">
      <c r="A53" s="175" t="n">
        <v>46295</v>
      </c>
      <c r="B53" s="3" t="inlineStr">
        <is>
          <t>Mercredi</t>
        </is>
      </c>
      <c r="C53" s="8" t="inlineStr">
        <is>
          <t>Vélo</t>
        </is>
      </c>
      <c r="D53" s="5" t="inlineStr">
        <is>
          <t>Vélo clé — 2x7' @ 88% FTP — r=5'</t>
        </is>
      </c>
      <c r="E53" s="3" t="n">
        <v>118</v>
      </c>
      <c r="F53" s="5" t="inlineStr">
        <is>
          <t>Z3</t>
        </is>
      </c>
      <c r="G53" s="3" t="n">
        <v>5</v>
      </c>
      <c r="H53" s="6">
        <f>"89' EF Z2 (127-140 bpm / "&amp;IF(FTP&gt;0,TEXT(ROUND(FTP*60/500,0)*5,"0"),"?")&amp;"-"&amp;IF(FTP&gt;0,TEXT(ROUND(FTP*70/500,0)*5,"0"),"?")&amp;" W"&amp;") | 2x7' @ 88% FTP ("&amp;IF(FTP&gt;0,TEXT(ROUND(FTP*88/500,0)*5,"0"),"?")&amp;" W"&amp;") — r=5'"&amp;CHAR(10)&amp;"Objectif : développer la puissance au seuil (FTP)"&amp;CHAR(10)&amp;"FC bloc cible : ~159 bpm (82% FC max) | Cadence : 87-93 rpm | RPE 7-8/10"&amp;CHAR(10)&amp;"NUTRITION : 40g glucides/h si &gt;90'"&amp;CHAR(10)&amp;"10' RC (127-140 bpm / "&amp;IF(FTP&gt;0,TEXT(ROUND(FTP*60/500,0)*5,"0"),"?")&amp;"-"&amp;IF(FTP&gt;0,TEXT(ROUND(FTP*70/500,0)*5,"0"),"?")&amp;" W"&amp;")"</f>
        <v/>
      </c>
      <c r="I53" s="3" t="n"/>
      <c r="J53" s="3" t="n">
        <v>55</v>
      </c>
      <c r="K53" s="3" t="n"/>
    </row>
    <row r="54" ht="60" customHeight="1" s="159">
      <c r="A54" s="175" t="n">
        <v>46296</v>
      </c>
      <c r="B54" s="3" t="inlineStr">
        <is>
          <t>Jeudi</t>
        </is>
      </c>
      <c r="C54" s="9" t="inlineStr">
        <is>
          <t>Natation</t>
        </is>
      </c>
      <c r="D54" s="5" t="inlineStr">
        <is>
          <t>Natation endurance</t>
        </is>
      </c>
      <c r="E54" s="3" t="n">
        <v>46</v>
      </c>
      <c r="F54" s="5" t="inlineStr">
        <is>
          <t>-</t>
        </is>
      </c>
      <c r="G54" s="3" t="n">
        <v>4</v>
      </c>
      <c r="H54" s="6" t="inlineStr">
        <is>
          <t>Échauffement : 200 m souple (110-126 bpm, 2:29/100 m)
Série principale : 4 x 300 m à allure soutenue (135-148 bpm, 2:12/100 m) — repos 20 s
Retour au calme : 200 m souple (110-126 bpm)
Consigne : allure constante sur chaque répétition ; sighting toutes les 6-8 cycles de bras
Total : 1600 m</t>
        </is>
      </c>
      <c r="I54" s="3" t="n"/>
      <c r="J54" s="3" t="n"/>
      <c r="K54" s="3" t="n">
        <v>1600</v>
      </c>
    </row>
    <row r="55" ht="24" customHeight="1" s="159">
      <c r="A55" s="175" t="n">
        <v>46296</v>
      </c>
      <c r="B55" s="3" t="inlineStr">
        <is>
          <t>Jeudi</t>
        </is>
      </c>
      <c r="C55" s="7" t="inlineStr">
        <is>
          <t>Course</t>
        </is>
      </c>
      <c r="D55" s="5" t="inlineStr">
        <is>
          <t>EF + strides</t>
        </is>
      </c>
      <c r="E55" s="3" t="n">
        <v>17</v>
      </c>
      <c r="F55" s="5" t="inlineStr">
        <is>
          <t>Z1-Z2</t>
        </is>
      </c>
      <c r="G55" s="3" t="n">
        <v>2</v>
      </c>
      <c r="H55" s="6" t="inlineStr">
        <is>
          <t>17' EF Z2 (127-140 bpm) | 4x20'' strides
Jamais &gt; Z2</t>
        </is>
      </c>
      <c r="I55" s="3" t="n">
        <v>3</v>
      </c>
      <c r="J55" s="3" t="n"/>
      <c r="K55" s="3" t="n"/>
    </row>
    <row r="56" ht="48" customHeight="1" s="159">
      <c r="A56" s="175" t="n">
        <v>46297</v>
      </c>
      <c r="B56" s="3" t="inlineStr">
        <is>
          <t>Vendredi</t>
        </is>
      </c>
      <c r="C56" s="8" t="inlineStr">
        <is>
          <t>Vélo</t>
        </is>
      </c>
      <c r="D56" s="5" t="inlineStr">
        <is>
          <t>Force légère</t>
        </is>
      </c>
      <c r="E56" s="3" t="n">
        <v>70</v>
      </c>
      <c r="F56" s="5" t="inlineStr">
        <is>
          <t>Z2-Z3</t>
        </is>
      </c>
      <c r="G56" s="3" t="n">
        <v>3</v>
      </c>
      <c r="H56" s="6">
        <f>"39'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56" s="3" t="n"/>
      <c r="J56" s="3" t="n">
        <v>29</v>
      </c>
      <c r="K56" s="3" t="n"/>
    </row>
    <row r="57" ht="24" customHeight="1" s="159">
      <c r="A57" s="175" t="n">
        <v>46298</v>
      </c>
      <c r="B57" s="3" t="inlineStr">
        <is>
          <t>Samedi</t>
        </is>
      </c>
      <c r="C57" s="7" t="inlineStr">
        <is>
          <t>Course</t>
        </is>
      </c>
      <c r="D57" s="5" t="inlineStr">
        <is>
          <t>SORTIE LONGUE Z2 — 34' (6 km)</t>
        </is>
      </c>
      <c r="E57" s="3" t="n">
        <v>34</v>
      </c>
      <c r="F57" s="5" t="inlineStr">
        <is>
          <t>Z2</t>
        </is>
      </c>
      <c r="G57" s="3" t="n">
        <v>5</v>
      </c>
      <c r="H57" s="6" t="inlineStr">
        <is>
          <t>Z2 34' — allure conversationnelle
FC : 127-140 bpm</t>
        </is>
      </c>
      <c r="I57" s="3" t="n">
        <v>6</v>
      </c>
      <c r="J57" s="3" t="n"/>
      <c r="K57" s="3" t="n"/>
    </row>
    <row r="58" ht="60" customHeight="1" s="159">
      <c r="A58" s="175" t="n">
        <v>46299</v>
      </c>
      <c r="B58" s="3" t="inlineStr">
        <is>
          <t>Dimanche</t>
        </is>
      </c>
      <c r="C58" s="9" t="inlineStr">
        <is>
          <t>Natation</t>
        </is>
      </c>
      <c r="D58" s="5" t="inlineStr">
        <is>
          <t>Natation technique</t>
        </is>
      </c>
      <c r="E58" s="3" t="n">
        <v>58</v>
      </c>
      <c r="F58" s="5" t="inlineStr">
        <is>
          <t>-</t>
        </is>
      </c>
      <c r="G58" s="3" t="n">
        <v>3</v>
      </c>
      <c r="H58" s="6" t="inlineStr">
        <is>
          <t>Échauffement : 6 x 50 m facile (108-117 bpm) — repos 30 s
Éducatifs : 5 x 50 m (catch-up, finger drag, sighting) — repos 30 s
Pull buoy : 9 x 100 m (135-148 bpm, 2:12/100 m) — repos 30 s + 50 m à la suite
Retour au calme : 200 m souple (110-126 bpm)
Total : 1700 m</t>
        </is>
      </c>
      <c r="I58" s="3" t="n"/>
      <c r="J58" s="3" t="n"/>
      <c r="K58" s="3" t="n">
        <v>1700</v>
      </c>
    </row>
    <row r="59" ht="15" customHeight="1" s="159">
      <c r="A59" s="10" t="n"/>
      <c r="B59" s="10" t="n"/>
      <c r="C59" s="10" t="n"/>
      <c r="D59" s="10" t="n"/>
      <c r="E59" s="10" t="n"/>
      <c r="F59" s="10" t="n"/>
      <c r="G59" s="10" t="n"/>
      <c r="H59" s="11" t="inlineStr">
        <is>
          <t>TOTAL SEMAINE</t>
        </is>
      </c>
      <c r="I59" s="10">
        <f>SUM(I50:I58)</f>
        <v/>
      </c>
      <c r="J59" s="10">
        <f>SUM(J50:J58)</f>
        <v/>
      </c>
      <c r="K59" s="10">
        <f>SUM(K50:K58)</f>
        <v/>
      </c>
    </row>
    <row r="60" ht="15" customHeight="1" s="159">
      <c r="A60" s="146" t="inlineStr">
        <is>
          <t xml:space="preserve">  S06 — 05/10/2026 → 11/10/2026   |     Phase 1 — Base</t>
        </is>
      </c>
    </row>
    <row r="61" ht="15" customHeight="1" s="159">
      <c r="A61" s="175" t="n">
        <v>46300</v>
      </c>
      <c r="B61" s="3" t="inlineStr">
        <is>
          <t>Lundi</t>
        </is>
      </c>
      <c r="C61" s="4" t="inlineStr">
        <is>
          <t>Repos</t>
        </is>
      </c>
      <c r="D61" s="5" t="inlineStr">
        <is>
          <t>OFF</t>
        </is>
      </c>
      <c r="E61" s="3" t="inlineStr">
        <is>
          <t>-</t>
        </is>
      </c>
      <c r="F61" s="5" t="inlineStr">
        <is>
          <t>-</t>
        </is>
      </c>
      <c r="G61" s="3" t="n">
        <v>1</v>
      </c>
      <c r="H61" s="6" t="inlineStr">
        <is>
          <t>Repos complet</t>
        </is>
      </c>
      <c r="I61" s="3" t="n"/>
      <c r="J61" s="3" t="n"/>
      <c r="K61" s="3" t="n"/>
    </row>
    <row r="62" ht="96" customHeight="1" s="159">
      <c r="A62" s="175" t="n">
        <v>46301</v>
      </c>
      <c r="B62" s="3" t="inlineStr">
        <is>
          <t>Mardi</t>
        </is>
      </c>
      <c r="C62" s="7" t="inlineStr">
        <is>
          <t>Course</t>
        </is>
      </c>
      <c r="D62" s="5" t="inlineStr">
        <is>
          <t>Qualité — 1km lent/rapide x2 (80/87%)</t>
        </is>
      </c>
      <c r="E62" s="3" t="n">
        <v>46</v>
      </c>
      <c r="F62" s="5" t="inlineStr">
        <is>
          <t>Z2-Z3</t>
        </is>
      </c>
      <c r="G62" s="3" t="n">
        <v>5</v>
      </c>
      <c r="H62" s="6" t="inlineStr">
        <is>
          <t>Objectif : économie de course et relance (alternance lent / rapide)
13' EF Z2 (127-140 bpm)
2 x [1 km à 80% FC max (155 bpm) — 1'15 de repos — 1 km à 87% (169 bpm)]
1'40 de repos entre chaque série
9' EF Z2 (127-140 bpm)</t>
        </is>
      </c>
      <c r="I62" s="3" t="n">
        <v>8</v>
      </c>
      <c r="J62" s="3" t="n"/>
      <c r="K62" s="3" t="n"/>
    </row>
    <row r="63" ht="24" customHeight="1" s="159">
      <c r="A63" s="175" t="n">
        <v>46301</v>
      </c>
      <c r="B63" s="3" t="inlineStr">
        <is>
          <t>Mardi</t>
        </is>
      </c>
      <c r="C63" s="8" t="inlineStr">
        <is>
          <t>Vélo</t>
        </is>
      </c>
      <c r="D63" s="5" t="inlineStr">
        <is>
          <t>Vélo récupération Z2</t>
        </is>
      </c>
      <c r="E63" s="3" t="n">
        <v>43</v>
      </c>
      <c r="F63" s="5" t="inlineStr">
        <is>
          <t>Z2</t>
        </is>
      </c>
      <c r="G63" s="3" t="n">
        <v>2</v>
      </c>
      <c r="H63" s="6">
        <f>"43' Z2 très facile (127-140 bpm / "&amp;IF(FTP&gt;0,TEXT(ROUND(FTP*50/500,0)*5,"0"),"?")&amp;"-"&amp;IF(FTP&gt;0,TEXT(ROUND(FTP*60/500,0)*5,"0"),"?")&amp;" W"&amp;") — récupération active"&amp;CHAR(10)&amp;"Cadence souple 85-90 rpm"</f>
        <v/>
      </c>
      <c r="I63" s="3" t="n"/>
      <c r="J63" s="3" t="n">
        <v>20</v>
      </c>
      <c r="K63" s="3" t="n"/>
    </row>
    <row r="64" ht="60" customHeight="1" s="159">
      <c r="A64" s="175" t="n">
        <v>46302</v>
      </c>
      <c r="B64" s="3" t="inlineStr">
        <is>
          <t>Mercredi</t>
        </is>
      </c>
      <c r="C64" s="8" t="inlineStr">
        <is>
          <t>Vélo</t>
        </is>
      </c>
      <c r="D64" s="5" t="inlineStr">
        <is>
          <t>Vélo clé — 3x12' @ 90% FTP — r=5'</t>
        </is>
      </c>
      <c r="E64" s="3" t="n">
        <v>101</v>
      </c>
      <c r="F64" s="5" t="inlineStr">
        <is>
          <t>Z3</t>
        </is>
      </c>
      <c r="G64" s="3" t="n">
        <v>6</v>
      </c>
      <c r="H64" s="6">
        <f>"45' EF Z2 (127-140 bpm / "&amp;IF(FTP&gt;0,TEXT(ROUND(FTP*60/500,0)*5,"0"),"?")&amp;"-"&amp;IF(FTP&gt;0,TEXT(ROUND(FTP*70/500,0)*5,"0"),"?")&amp;" W"&amp;") | 3x12' @ 90% FTP ("&amp;IF(FTP&gt;0,TEXT(ROUND(FTP*90/500,0)*5,"0"),"?")&amp;" W"&amp;") — r=5'"&amp;CHAR(10)&amp;"Objectif : travailler juste sous le seuil lactique (sweet spot)"&amp;CHAR(10)&amp;"FC bloc cible : ~163 bpm (84% FC max = ton seuil lactique) | Cadence : 87-93 rpm | RPE 6-7/10"&amp;CHAR(10)&amp;"NUTRITION : 40g glucides/h si &gt;90'"&amp;CHAR(10)&amp;"10' RC (127-140 bpm / "&amp;IF(FTP&gt;0,TEXT(ROUND(FTP*60/500,0)*5,"0"),"?")&amp;"-"&amp;IF(FTP&gt;0,TEXT(ROUND(FTP*70/500,0)*5,"0"),"?")&amp;" W"&amp;")"</f>
        <v/>
      </c>
      <c r="I64" s="3" t="n"/>
      <c r="J64" s="3" t="n">
        <v>47</v>
      </c>
      <c r="K64" s="3" t="n"/>
    </row>
    <row r="65" ht="144" customHeight="1" s="159">
      <c r="A65" s="175" t="n">
        <v>46303</v>
      </c>
      <c r="B65" s="3" t="inlineStr">
        <is>
          <t>Jeudi</t>
        </is>
      </c>
      <c r="C65" s="9" t="inlineStr">
        <is>
          <t>Natation</t>
        </is>
      </c>
      <c r="D65" s="5" t="inlineStr">
        <is>
          <t>Natation test CSS 400/200</t>
        </is>
      </c>
      <c r="E65" s="3" t="n">
        <v>57</v>
      </c>
      <c r="F65" s="5" t="inlineStr">
        <is>
          <t>-</t>
        </is>
      </c>
      <c r="G65" s="3" t="n">
        <v>7</v>
      </c>
      <c r="H65" s="6" t="inlineStr">
        <is>
          <t>Échauffement : 200 m souple (110-126 bpm, 2:29/100 m) puis 8 x 50 m progressif (du souple au soutenu) — repos 15 s
Test 1 : 400 m à fond, chrono à noter — puis 200 m très souple
Test 2 : 200 m à fond, chrono à noter
Série soutenue : 2 x 100 m à allure soutenue (135-148 bpm, 2:12/100 m) — repos 15 s
Retour au calme : 200 m souple (110-126 bpm)
Calcul : allure CSS /100 m = (chrono 400 m − chrono 200 m) ÷ 2 ; relève aussi ta FC moyenne sur le 400 m : c'est ta zone seuil natation réelle (à ± 5 bpm) ; CSS prévue cette semaine : 2:09/100 m
Recalage : allure IM = CSS + 6 s ; soutenu = CSS + 3 s ; seuil = CSS ; souple = CSS + 20 s — décale les allures du fichier du même écart
Total : 1800 m</t>
        </is>
      </c>
      <c r="I65" s="3" t="n"/>
      <c r="J65" s="3" t="n"/>
      <c r="K65" s="3" t="n">
        <v>1800</v>
      </c>
    </row>
    <row r="66" ht="36" customHeight="1" s="159">
      <c r="A66" s="175" t="n">
        <v>46303</v>
      </c>
      <c r="B66" s="3" t="inlineStr">
        <is>
          <t>Jeudi</t>
        </is>
      </c>
      <c r="C66" s="7" t="inlineStr">
        <is>
          <t>Course</t>
        </is>
      </c>
      <c r="D66" s="5" t="inlineStr">
        <is>
          <t>EF Z2 + accélérations</t>
        </is>
      </c>
      <c r="E66" s="3" t="n">
        <v>25</v>
      </c>
      <c r="F66" s="5" t="inlineStr">
        <is>
          <t>Z1-Z2</t>
        </is>
      </c>
      <c r="G66" s="3" t="n">
        <v>2</v>
      </c>
      <c r="H66" s="6" t="inlineStr">
        <is>
          <t>25' EF Z2 (127-140 bpm)
6x20'' accélérations en fin — allure libre
Très facile, aucune pression chrono</t>
        </is>
      </c>
      <c r="I66" s="3" t="n">
        <v>4</v>
      </c>
      <c r="J66" s="3" t="n"/>
      <c r="K66" s="3" t="n"/>
    </row>
    <row r="67" ht="48" customHeight="1" s="159">
      <c r="A67" s="175" t="n">
        <v>46304</v>
      </c>
      <c r="B67" s="3" t="inlineStr">
        <is>
          <t>Vendredi</t>
        </is>
      </c>
      <c r="C67" s="8" t="inlineStr">
        <is>
          <t>Vélo</t>
        </is>
      </c>
      <c r="D67" s="5" t="inlineStr">
        <is>
          <t>Force spécifique</t>
        </is>
      </c>
      <c r="E67" s="3" t="n">
        <v>81</v>
      </c>
      <c r="F67" s="5" t="inlineStr">
        <is>
          <t>Z2-Z3</t>
        </is>
      </c>
      <c r="G67" s="3" t="n">
        <v>5</v>
      </c>
      <c r="H67" s="6">
        <f>"50'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67" s="3" t="n"/>
      <c r="J67" s="3" t="n">
        <v>38</v>
      </c>
      <c r="K67" s="3" t="n"/>
    </row>
    <row r="68" ht="84" customHeight="1" s="159">
      <c r="A68" s="175" t="n">
        <v>46305</v>
      </c>
      <c r="B68" s="3" t="inlineStr">
        <is>
          <t>Samedi</t>
        </is>
      </c>
      <c r="C68" s="9" t="inlineStr">
        <is>
          <t>Natation</t>
        </is>
      </c>
      <c r="D68" s="5" t="inlineStr">
        <is>
          <t>Natation technique + bloc IM</t>
        </is>
      </c>
      <c r="E68" s="3" t="n">
        <v>80</v>
      </c>
      <c r="F68" s="5" t="inlineStr">
        <is>
          <t>-</t>
        </is>
      </c>
      <c r="G68" s="3" t="n">
        <v>4</v>
      </c>
      <c r="H68" s="6" t="inlineStr">
        <is>
          <t>Échauffement : 4 x 50 m facile (108-117 bpm) — repos 30 s
Éducatifs : 8 x 50 m (catch-up, finger drag, sighting) — repos 30 s
Bloc continu : 400 m à allure IM, sans arrêt (135-148 bpm, 2:15/100 m) — sighting toutes les 6-8 cycles de bras
Pull buoy : 14 x 100 m (135-148 bpm, 2:12/100 m) — repos 30 s
Retour au calme : 200 m souple (110-126 bpm)
Total : 2600 m</t>
        </is>
      </c>
      <c r="I68" s="3" t="n"/>
      <c r="J68" s="3" t="n"/>
      <c r="K68" s="3" t="n">
        <v>2600</v>
      </c>
    </row>
    <row r="69" ht="24" customHeight="1" s="159">
      <c r="A69" s="175" t="n">
        <v>46305</v>
      </c>
      <c r="B69" s="3" t="inlineStr">
        <is>
          <t>Samedi</t>
        </is>
      </c>
      <c r="C69" s="7" t="inlineStr">
        <is>
          <t>Course</t>
        </is>
      </c>
      <c r="D69" s="5" t="inlineStr">
        <is>
          <t>SORTIE LONGUE Z2 — 62' (10 km)</t>
        </is>
      </c>
      <c r="E69" s="3" t="n">
        <v>62</v>
      </c>
      <c r="F69" s="5" t="inlineStr">
        <is>
          <t>Z2</t>
        </is>
      </c>
      <c r="G69" s="3" t="n">
        <v>5</v>
      </c>
      <c r="H69" s="6" t="inlineStr">
        <is>
          <t>Z2 62' stable (127-140 bpm)
Allure conversationnelle — cadence 170-175 spm</t>
        </is>
      </c>
      <c r="I69" s="3" t="n">
        <v>10</v>
      </c>
      <c r="J69" s="3" t="n"/>
      <c r="K69" s="3" t="n"/>
    </row>
    <row r="70" ht="36" customHeight="1" s="159">
      <c r="A70" s="175" t="n">
        <v>46306</v>
      </c>
      <c r="B70" s="3" t="inlineStr">
        <is>
          <t>Dimanche</t>
        </is>
      </c>
      <c r="C70" s="8" t="inlineStr">
        <is>
          <t>Vélo</t>
        </is>
      </c>
      <c r="D70" s="5" t="inlineStr">
        <is>
          <t>Sortie longue — 236' (110.0 km)</t>
        </is>
      </c>
      <c r="E70" s="3" t="n">
        <v>236</v>
      </c>
      <c r="F70" s="5" t="inlineStr">
        <is>
          <t>Z2-Z3</t>
        </is>
      </c>
      <c r="G70" s="3" t="n">
        <v>6</v>
      </c>
      <c r="H70" s="6">
        <f>"236' Z2 (127-140 bpm / "&amp;IF(FTP&gt;0,TEXT(ROUND(FTP*60/500,0)*5,"0"),"?")&amp;"-"&amp;IF(FTP&gt;0,TEXT(ROUND(FTP*70/500,0)*5,"0"),"?")&amp;" W"&amp;")"&amp;CHAR(10)&amp;"Cadence 85-92 rpm"&amp;CHAR(10)&amp;"NUTRITION : 40g glucides/h si &gt;60'"</f>
        <v/>
      </c>
      <c r="I70" s="3" t="n"/>
      <c r="J70" s="3" t="n">
        <v>110</v>
      </c>
      <c r="K70" s="3" t="n"/>
    </row>
    <row r="71" ht="60" customHeight="1" s="159">
      <c r="A71" s="175" t="n">
        <v>46306</v>
      </c>
      <c r="B71" s="3" t="inlineStr">
        <is>
          <t>Dimanche</t>
        </is>
      </c>
      <c r="C71" s="9" t="inlineStr">
        <is>
          <t>Natation</t>
        </is>
      </c>
      <c r="D71" s="5" t="inlineStr">
        <is>
          <t>Natation endurance</t>
        </is>
      </c>
      <c r="E71" s="3" t="n">
        <v>46</v>
      </c>
      <c r="F71" s="5" t="inlineStr">
        <is>
          <t>-</t>
        </is>
      </c>
      <c r="G71" s="3" t="n">
        <v>4</v>
      </c>
      <c r="H71" s="6" t="inlineStr">
        <is>
          <t>Échauffement : 200 m souple (110-126 bpm, 2:29/100 m)
Série principale : 6 x 200 m à allure soutenue (135-148 bpm, 2:12/100 m) — repos 20 s
Retour au calme : 200 m souple (110-126 bpm)
Consigne : allure constante sur chaque répétition ; sighting toutes les 6-8 cycles de bras
Total : 1600 m</t>
        </is>
      </c>
      <c r="I71" s="3" t="n"/>
      <c r="J71" s="3" t="n"/>
      <c r="K71" s="3" t="n">
        <v>1600</v>
      </c>
    </row>
    <row r="72" ht="15" customHeight="1" s="159">
      <c r="A72" s="10" t="n"/>
      <c r="B72" s="10" t="n"/>
      <c r="C72" s="10" t="n"/>
      <c r="D72" s="10" t="n"/>
      <c r="E72" s="10" t="n"/>
      <c r="F72" s="10" t="n"/>
      <c r="G72" s="10" t="n"/>
      <c r="H72" s="11" t="inlineStr">
        <is>
          <t>TOTAL SEMAINE</t>
        </is>
      </c>
      <c r="I72" s="10">
        <f>SUM(I61:I71)</f>
        <v/>
      </c>
      <c r="J72" s="10">
        <f>SUM(J61:J71)</f>
        <v/>
      </c>
      <c r="K72" s="10">
        <f>SUM(K61:K71)</f>
        <v/>
      </c>
    </row>
    <row r="73" ht="15" customHeight="1" s="159">
      <c r="A73" s="146" t="inlineStr">
        <is>
          <t xml:space="preserve">  S07 — 12/10/2026 → 18/10/2026   |     Phase 1 — Base</t>
        </is>
      </c>
    </row>
    <row r="74" ht="15" customHeight="1" s="159">
      <c r="A74" s="175" t="n">
        <v>46307</v>
      </c>
      <c r="B74" s="3" t="inlineStr">
        <is>
          <t>Lundi</t>
        </is>
      </c>
      <c r="C74" s="4" t="inlineStr">
        <is>
          <t>Repos</t>
        </is>
      </c>
      <c r="D74" s="5" t="inlineStr">
        <is>
          <t>OFF</t>
        </is>
      </c>
      <c r="E74" s="3" t="inlineStr">
        <is>
          <t>-</t>
        </is>
      </c>
      <c r="F74" s="5" t="inlineStr">
        <is>
          <t>-</t>
        </is>
      </c>
      <c r="G74" s="3" t="n">
        <v>1</v>
      </c>
      <c r="H74" s="6" t="inlineStr">
        <is>
          <t>Repos complet</t>
        </is>
      </c>
      <c r="I74" s="3" t="n"/>
      <c r="J74" s="3" t="n"/>
      <c r="K74" s="3" t="n"/>
    </row>
    <row r="75" ht="96" customHeight="1" s="159">
      <c r="A75" s="175" t="n">
        <v>46308</v>
      </c>
      <c r="B75" s="3" t="inlineStr">
        <is>
          <t>Mardi</t>
        </is>
      </c>
      <c r="C75" s="7" t="inlineStr">
        <is>
          <t>Course</t>
        </is>
      </c>
      <c r="D75" s="5" t="inlineStr">
        <is>
          <t>Qualité — 2x(9' + 5') @ 83/87%</t>
        </is>
      </c>
      <c r="E75" s="3" t="n">
        <v>58</v>
      </c>
      <c r="F75" s="5" t="inlineStr">
        <is>
          <t>Z3-Z4</t>
        </is>
      </c>
      <c r="G75" s="3" t="n">
        <v>6</v>
      </c>
      <c r="H75" s="6" t="inlineStr">
        <is>
          <t>Objectif : seuil, allure marathon vers semi
14' EF Z2 (127-140 bpm)
2 x [9' à 83% FC max (161 bpm) — 1'30 de repos — 5' à 87% (169 bpm)]
3'30 de repos entre séries
9' EF Z2 (127-140 bpm)</t>
        </is>
      </c>
      <c r="I75" s="3" t="n">
        <v>10</v>
      </c>
      <c r="J75" s="3" t="n"/>
      <c r="K75" s="3" t="n"/>
    </row>
    <row r="76" ht="24" customHeight="1" s="159">
      <c r="A76" s="175" t="n">
        <v>46308</v>
      </c>
      <c r="B76" s="3" t="inlineStr">
        <is>
          <t>Mardi</t>
        </is>
      </c>
      <c r="C76" s="8" t="inlineStr">
        <is>
          <t>Vélo</t>
        </is>
      </c>
      <c r="D76" s="5" t="inlineStr">
        <is>
          <t>Vélo récupération Z2</t>
        </is>
      </c>
      <c r="E76" s="3" t="n">
        <v>43</v>
      </c>
      <c r="F76" s="5" t="inlineStr">
        <is>
          <t>Z2</t>
        </is>
      </c>
      <c r="G76" s="3" t="n">
        <v>2</v>
      </c>
      <c r="H76" s="6">
        <f>"43' Z2 très facile (127-140 bpm / "&amp;IF(FTP&gt;0,TEXT(ROUND(FTP*50/500,0)*5,"0"),"?")&amp;"-"&amp;IF(FTP&gt;0,TEXT(ROUND(FTP*60/500,0)*5,"0"),"?")&amp;" W"&amp;") — récupération active"&amp;CHAR(10)&amp;"Cadence souple 85-90 rpm"</f>
        <v/>
      </c>
      <c r="I76" s="3" t="n"/>
      <c r="J76" s="3" t="n">
        <v>20</v>
      </c>
      <c r="K76" s="3" t="n"/>
    </row>
    <row r="77" ht="84" customHeight="1" s="159">
      <c r="A77" s="175" t="n">
        <v>46309</v>
      </c>
      <c r="B77" s="3" t="inlineStr">
        <is>
          <t>Mercredi</t>
        </is>
      </c>
      <c r="C77" s="8" t="inlineStr">
        <is>
          <t>Vélo</t>
        </is>
      </c>
      <c r="D77" s="5" t="inlineStr">
        <is>
          <t>Vélo clé — Over-unders 3x12' — r=5'</t>
        </is>
      </c>
      <c r="E77" s="3" t="n">
        <v>107</v>
      </c>
      <c r="F77" s="5" t="inlineStr">
        <is>
          <t>Z3-Z4</t>
        </is>
      </c>
      <c r="G77" s="3" t="n">
        <v>7</v>
      </c>
      <c r="H77" s="6">
        <f>"51' EF Z2 (127-140 bpm / "&amp;IF(FTP&gt;0,TEXT(ROUND(FTP*60/500,0)*5,"0"),"?")&amp;"-"&amp;IF(FTP&gt;0,TEXT(ROUND(FTP*70/500,0)*5,"0"),"?")&amp;" W"&amp;") | 3x12' over-unders : 3 x (3' @ 80% (155 bpm / "&amp;IF(FTP&gt;0,TEXT(ROUND(FTP*93/500,0)*5,"0"),"?")&amp;" W"&amp;") + 1' @ 88% (171 bpm / "&amp;IF(FTP&gt;0,TEXT(ROUND(FTP*107/500,0)*5,"0"),"?")&amp;" W"&amp;")) — r=5'"&amp;CHAR(10)&amp;"Objectif : tolérance au lactate et relances, alternance sous / au-dessus du seuil"&amp;CHAR(10)&amp;"FC : 155 bpm (80% FC max) sous le seuil | 171 bpm (88%) au-dessus (seuil lactique 163 bpm) | Cadence : 87-93 rpm | RPE 7-8/10"&amp;CHAR(10)&amp;"NUTRITION : 40g glucides/h si &gt;90'"&amp;CHAR(10)&amp;"10' RC (127-140 bpm / "&amp;IF(FTP&gt;0,TEXT(ROUND(FTP*60/500,0)*5,"0"),"?")&amp;"-"&amp;IF(FTP&gt;0,TEXT(ROUND(FTP*70/500,0)*5,"0"),"?")&amp;" W"&amp;")"</f>
        <v/>
      </c>
      <c r="I77" s="3" t="n"/>
      <c r="J77" s="3" t="n">
        <v>50</v>
      </c>
      <c r="K77" s="3" t="n"/>
    </row>
    <row r="78" ht="60" customHeight="1" s="159">
      <c r="A78" s="175" t="n">
        <v>46310</v>
      </c>
      <c r="B78" s="3" t="inlineStr">
        <is>
          <t>Jeudi</t>
        </is>
      </c>
      <c r="C78" s="9" t="inlineStr">
        <is>
          <t>Natation</t>
        </is>
      </c>
      <c r="D78" s="5" t="inlineStr">
        <is>
          <t>Natation endurance</t>
        </is>
      </c>
      <c r="E78" s="3" t="n">
        <v>53</v>
      </c>
      <c r="F78" s="5" t="inlineStr">
        <is>
          <t>-</t>
        </is>
      </c>
      <c r="G78" s="3" t="n">
        <v>4</v>
      </c>
      <c r="H78" s="6" t="inlineStr">
        <is>
          <t>Échauffement : 200 m souple (110-126 bpm, 2:29/100 m)
Série principale : 5 x 300 m à allure soutenue (135-148 bpm, 2:12/100 m) — repos 20 s
Retour au calme : 200 m souple (110-126 bpm)
Consigne : allure constante sur chaque répétition ; sighting toutes les 6-8 cycles de bras
Total : 1900 m</t>
        </is>
      </c>
      <c r="I78" s="3" t="n"/>
      <c r="J78" s="3" t="n"/>
      <c r="K78" s="3" t="n">
        <v>1900</v>
      </c>
    </row>
    <row r="79" ht="36" customHeight="1" s="159">
      <c r="A79" s="175" t="n">
        <v>46310</v>
      </c>
      <c r="B79" s="3" t="inlineStr">
        <is>
          <t>Jeudi</t>
        </is>
      </c>
      <c r="C79" s="7" t="inlineStr">
        <is>
          <t>Course</t>
        </is>
      </c>
      <c r="D79" s="5" t="inlineStr">
        <is>
          <t>EF Z2 + accélérations</t>
        </is>
      </c>
      <c r="E79" s="3" t="n">
        <v>18</v>
      </c>
      <c r="F79" s="5" t="inlineStr">
        <is>
          <t>Z1-Z2</t>
        </is>
      </c>
      <c r="G79" s="3" t="n">
        <v>2</v>
      </c>
      <c r="H79" s="6" t="inlineStr">
        <is>
          <t>18' EF Z2 (127-140 bpm)
6x20'' accélérations en fin — allure libre
Très facile, aucune pression chrono</t>
        </is>
      </c>
      <c r="I79" s="3" t="n">
        <v>3</v>
      </c>
      <c r="J79" s="3" t="n"/>
      <c r="K79" s="3" t="n"/>
    </row>
    <row r="80" ht="60" customHeight="1" s="159">
      <c r="A80" s="175" t="n">
        <v>46311</v>
      </c>
      <c r="B80" s="3" t="inlineStr">
        <is>
          <t>Vendredi</t>
        </is>
      </c>
      <c r="C80" s="8" t="inlineStr">
        <is>
          <t>Vélo</t>
        </is>
      </c>
      <c r="D80" s="5" t="inlineStr">
        <is>
          <t>Force spécifique</t>
        </is>
      </c>
      <c r="E80" s="3" t="n">
        <v>92</v>
      </c>
      <c r="F80" s="5" t="inlineStr">
        <is>
          <t>Z2-Z3</t>
        </is>
      </c>
      <c r="G80" s="3" t="n">
        <v>5</v>
      </c>
      <c r="H80" s="6">
        <f>"61'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40g glucides/h si &gt;90'"&amp;CHAR(10)&amp;"10' RC (127-140 bpm / "&amp;IF(FTP&gt;0,TEXT(ROUND(FTP*60/500,0)*5,"0"),"?")&amp;"-"&amp;IF(FTP&gt;0,TEXT(ROUND(FTP*70/500,0)*5,"0"),"?")&amp;" W"&amp;")"</f>
        <v/>
      </c>
      <c r="I80" s="3" t="n"/>
      <c r="J80" s="3" t="n">
        <v>43</v>
      </c>
      <c r="K80" s="3" t="n"/>
    </row>
    <row r="81" ht="84" customHeight="1" s="159">
      <c r="A81" s="175" t="n">
        <v>46312</v>
      </c>
      <c r="B81" s="3" t="inlineStr">
        <is>
          <t>Samedi</t>
        </is>
      </c>
      <c r="C81" s="9" t="inlineStr">
        <is>
          <t>Natation</t>
        </is>
      </c>
      <c r="D81" s="5" t="inlineStr">
        <is>
          <t>Natation technique + bloc IM</t>
        </is>
      </c>
      <c r="E81" s="3" t="n">
        <v>83</v>
      </c>
      <c r="F81" s="5" t="inlineStr">
        <is>
          <t>-</t>
        </is>
      </c>
      <c r="G81" s="3" t="n">
        <v>4</v>
      </c>
      <c r="H81" s="6" t="inlineStr">
        <is>
          <t>Échauffement : 4 x 50 m facile (108-117 bpm) — repos 30 s
Éducatifs : 8 x 50 m (catch-up, finger drag, sighting) — repos 30 s
Bloc continu : 500 m à allure IM, sans arrêt (135-148 bpm, 2:15/100 m) — sighting toutes les 6-8 cycles de bras
Pull buoy : 14 x 100 m (135-148 bpm, 2:12/100 m) — repos 30 s + 50 m à la suite
Retour au calme : 200 m souple (110-126 bpm)
Total : 2750 m</t>
        </is>
      </c>
      <c r="I81" s="3" t="n"/>
      <c r="J81" s="3" t="n"/>
      <c r="K81" s="3" t="n">
        <v>2750</v>
      </c>
    </row>
    <row r="82" ht="24" customHeight="1" s="159">
      <c r="A82" s="175" t="n">
        <v>46312</v>
      </c>
      <c r="B82" s="3" t="inlineStr">
        <is>
          <t>Samedi</t>
        </is>
      </c>
      <c r="C82" s="7" t="inlineStr">
        <is>
          <t>Course</t>
        </is>
      </c>
      <c r="D82" s="5" t="inlineStr">
        <is>
          <t>SORTIE LONGUE Z2 — 68' (11 km)</t>
        </is>
      </c>
      <c r="E82" s="3" t="n">
        <v>68</v>
      </c>
      <c r="F82" s="5" t="inlineStr">
        <is>
          <t>Z2</t>
        </is>
      </c>
      <c r="G82" s="3" t="n">
        <v>5</v>
      </c>
      <c r="H82" s="6" t="inlineStr">
        <is>
          <t>Z2 68' stable (127-140 bpm)
Allure conversationnelle — cadence 170-175 spm</t>
        </is>
      </c>
      <c r="I82" s="3" t="n">
        <v>11</v>
      </c>
      <c r="J82" s="3" t="n"/>
      <c r="K82" s="3" t="n"/>
    </row>
    <row r="83" ht="36" customHeight="1" s="159">
      <c r="A83" s="175" t="n">
        <v>46313</v>
      </c>
      <c r="B83" s="3" t="inlineStr">
        <is>
          <t>Dimanche</t>
        </is>
      </c>
      <c r="C83" s="8" t="inlineStr">
        <is>
          <t>Vélo</t>
        </is>
      </c>
      <c r="D83" s="5" t="inlineStr">
        <is>
          <t>Sortie longue — 246' (115.0 km)</t>
        </is>
      </c>
      <c r="E83" s="3" t="n">
        <v>246</v>
      </c>
      <c r="F83" s="5" t="inlineStr">
        <is>
          <t>Z2-Z3</t>
        </is>
      </c>
      <c r="G83" s="3" t="n">
        <v>6</v>
      </c>
      <c r="H83" s="6">
        <f>"246' Z2 (127-140 bpm / "&amp;IF(FTP&gt;0,TEXT(ROUND(FTP*60/500,0)*5,"0"),"?")&amp;"-"&amp;IF(FTP&gt;0,TEXT(ROUND(FTP*70/500,0)*5,"0"),"?")&amp;" W"&amp;")"&amp;CHAR(10)&amp;"Cadence 85-92 rpm"&amp;CHAR(10)&amp;"NUTRITION : 40g glucides/h si &gt;60'"</f>
        <v/>
      </c>
      <c r="I83" s="3" t="n"/>
      <c r="J83" s="3" t="n">
        <v>115</v>
      </c>
      <c r="K83" s="3" t="n"/>
    </row>
    <row r="84" ht="72" customHeight="1" s="159">
      <c r="A84" s="175" t="n">
        <v>46313</v>
      </c>
      <c r="B84" s="3" t="inlineStr">
        <is>
          <t>Dimanche</t>
        </is>
      </c>
      <c r="C84" s="9" t="inlineStr">
        <is>
          <t>Natation</t>
        </is>
      </c>
      <c r="D84" s="5" t="inlineStr">
        <is>
          <t>Natation endurance</t>
        </is>
      </c>
      <c r="E84" s="3" t="n">
        <v>50</v>
      </c>
      <c r="F84" s="5" t="inlineStr">
        <is>
          <t>-</t>
        </is>
      </c>
      <c r="G84" s="3" t="n">
        <v>4</v>
      </c>
      <c r="H84" s="6" t="inlineStr">
        <is>
          <t>Échauffement : 200 m souple (110-126 bpm, 2:29/100 m)
Série principale : 6 x 200 m à allure soutenue (135-148 bpm, 2:12/100 m) — repos 20 s + 150 m à la suite, même allure
Retour au calme : 200 m souple (110-126 bpm)
Consigne : allure constante sur chaque répétition ; sighting toutes les 6-8 cycles de bras
Total : 1750 m</t>
        </is>
      </c>
      <c r="I84" s="3" t="n"/>
      <c r="J84" s="3" t="n"/>
      <c r="K84" s="3" t="n">
        <v>1750</v>
      </c>
    </row>
    <row r="85" ht="15" customHeight="1" s="159">
      <c r="A85" s="10" t="n"/>
      <c r="B85" s="10" t="n"/>
      <c r="C85" s="10" t="n"/>
      <c r="D85" s="10" t="n"/>
      <c r="E85" s="10" t="n"/>
      <c r="F85" s="10" t="n"/>
      <c r="G85" s="10" t="n"/>
      <c r="H85" s="11" t="inlineStr">
        <is>
          <t>TOTAL SEMAINE</t>
        </is>
      </c>
      <c r="I85" s="10">
        <f>SUM(I74:I84)</f>
        <v/>
      </c>
      <c r="J85" s="10">
        <f>SUM(J74:J84)</f>
        <v/>
      </c>
      <c r="K85" s="10">
        <f>SUM(K74:K84)</f>
        <v/>
      </c>
    </row>
    <row r="86" ht="15" customHeight="1" s="159">
      <c r="A86" s="146" t="inlineStr">
        <is>
          <t xml:space="preserve">  S08 — 19/10/2026 → 25/10/2026   |     Phase 1 — Base</t>
        </is>
      </c>
    </row>
    <row r="87" ht="15" customHeight="1" s="159">
      <c r="A87" s="175" t="n">
        <v>46314</v>
      </c>
      <c r="B87" s="3" t="inlineStr">
        <is>
          <t>Lundi</t>
        </is>
      </c>
      <c r="C87" s="4" t="inlineStr">
        <is>
          <t>Repos</t>
        </is>
      </c>
      <c r="D87" s="5" t="inlineStr">
        <is>
          <t>OFF</t>
        </is>
      </c>
      <c r="E87" s="3" t="inlineStr">
        <is>
          <t>-</t>
        </is>
      </c>
      <c r="F87" s="5" t="inlineStr">
        <is>
          <t>-</t>
        </is>
      </c>
      <c r="G87" s="3" t="n">
        <v>1</v>
      </c>
      <c r="H87" s="6" t="inlineStr">
        <is>
          <t>Repos complet</t>
        </is>
      </c>
      <c r="I87" s="3" t="n"/>
      <c r="J87" s="3" t="n"/>
      <c r="K87" s="3" t="n"/>
    </row>
    <row r="88" ht="96" customHeight="1" s="159">
      <c r="A88" s="175" t="n">
        <v>46315</v>
      </c>
      <c r="B88" s="3" t="inlineStr">
        <is>
          <t>Mardi</t>
        </is>
      </c>
      <c r="C88" s="7" t="inlineStr">
        <is>
          <t>Course</t>
        </is>
      </c>
      <c r="D88" s="5" t="inlineStr">
        <is>
          <t>Qualité — 1km lent/rapide x3 (80/87%)</t>
        </is>
      </c>
      <c r="E88" s="3" t="n">
        <v>52</v>
      </c>
      <c r="F88" s="5" t="inlineStr">
        <is>
          <t>Z3-Z4</t>
        </is>
      </c>
      <c r="G88" s="3" t="n">
        <v>6</v>
      </c>
      <c r="H88" s="6" t="inlineStr">
        <is>
          <t>Objectif : économie de course et relance (alternance lent / rapide)
9' EF Z2 (127-140 bpm)
3 x [1 km à 80% FC max (155 bpm) — 1'15 de repos — 1 km à 87% (169 bpm)]
1'40 de repos entre chaque série
6' EF Z2 (127-140 bpm)</t>
        </is>
      </c>
      <c r="I88" s="3" t="n">
        <v>9</v>
      </c>
      <c r="J88" s="3" t="n"/>
      <c r="K88" s="3" t="n"/>
    </row>
    <row r="89" ht="24" customHeight="1" s="159">
      <c r="A89" s="175" t="n">
        <v>46315</v>
      </c>
      <c r="B89" s="3" t="inlineStr">
        <is>
          <t>Mardi</t>
        </is>
      </c>
      <c r="C89" s="8" t="inlineStr">
        <is>
          <t>Vélo</t>
        </is>
      </c>
      <c r="D89" s="5" t="inlineStr">
        <is>
          <t>Vélo récupération Z1</t>
        </is>
      </c>
      <c r="E89" s="3" t="n">
        <v>43</v>
      </c>
      <c r="F89" s="5" t="inlineStr">
        <is>
          <t>Z2</t>
        </is>
      </c>
      <c r="G89" s="3" t="n">
        <v>2</v>
      </c>
      <c r="H89" s="6">
        <f>"43' Z1 très facile (&lt; 127 bpm / "&amp;IF(FTP&gt;0,TEXT(ROUND(FTP*50/500,0)*5,"0"),"?")&amp;"-"&amp;IF(FTP&gt;0,TEXT(ROUND(FTP*55/500,0)*5,"0"),"?")&amp;" W"&amp;") — récupération active"&amp;CHAR(10)&amp;"Cadence souple 85-90 rpm"</f>
        <v/>
      </c>
      <c r="I89" s="3" t="n"/>
      <c r="J89" s="3" t="n">
        <v>20</v>
      </c>
      <c r="K89" s="3" t="n"/>
    </row>
    <row r="90" ht="72" customHeight="1" s="159">
      <c r="A90" s="175" t="n">
        <v>46316</v>
      </c>
      <c r="B90" s="3" t="inlineStr">
        <is>
          <t>Mercredi</t>
        </is>
      </c>
      <c r="C90" s="8" t="inlineStr">
        <is>
          <t>Vélo</t>
        </is>
      </c>
      <c r="D90" s="5" t="inlineStr">
        <is>
          <t>Vélo clé — VO2 5x3' @ 115% FTP — r=3'</t>
        </is>
      </c>
      <c r="E90" s="3" t="n">
        <v>111</v>
      </c>
      <c r="F90" s="5" t="inlineStr">
        <is>
          <t>Z5</t>
        </is>
      </c>
      <c r="G90" s="3" t="n">
        <v>8</v>
      </c>
      <c r="H90" s="6">
        <f>"40' EF Z2 (127-140 bpm / "&amp;IF(FTP&gt;0,TEXT(ROUND(FTP*60/500,0)*5,"0"),"?")&amp;"-"&amp;IF(FTP&gt;0,TEXT(ROUND(FTP*70/500,0)*5,"0"),"?")&amp;" W"&amp;") dont 3 ouvertures de 30'' à 90% FC max ("&amp;IF(FTP&gt;0,TEXT(ROUND(FTP*120/500,0)*5,"0"),"?")&amp;" W"&amp;") | 5x3' @ 115% FTP ("&amp;IF(FTP&gt;0,TEXT(ROUND(FTP*115/500,0)*5,"0"),"?")&amp;" W"&amp;" — 186 bpm en fin de répétition) — r=3' Z1 | 34' EF Z2 (127-140 bpm / "&amp;IF(FTP&gt;0,TEXT(ROUND(FTP*60/500,0)*5,"0"),"?")&amp;"-"&amp;IF(FTP&gt;0,TEXT(ROUND(FTP*70/500,0)*5,"0"),"?")&amp;" W"&amp;")"&amp;CHAR(10)&amp;"Objectif : puissance aérobie maximale (VO2max), intervalles courts"&amp;CHAR(10)&amp;"FC fin de répétition : 184-194 bpm (95-100% FC max) | Cadence : 90-100 rpm | RPE 8-9/10"&amp;CHAR(10)&amp;"NUTRITION : 40g glucides/h si &gt;90'"&amp;CHAR(10)&amp;"10' RC (127-140 bpm / "&amp;IF(FTP&gt;0,TEXT(ROUND(FTP*60/500,0)*5,"0"),"?")&amp;"-"&amp;IF(FTP&gt;0,TEXT(ROUND(FTP*70/500,0)*5,"0"),"?")&amp;" W"&amp;")"</f>
        <v/>
      </c>
      <c r="I90" s="3" t="n"/>
      <c r="J90" s="3" t="n">
        <v>52</v>
      </c>
      <c r="K90" s="3" t="n"/>
    </row>
    <row r="91" ht="72" customHeight="1" s="159">
      <c r="A91" s="175" t="n">
        <v>46317</v>
      </c>
      <c r="B91" s="3" t="inlineStr">
        <is>
          <t>Jeudi</t>
        </is>
      </c>
      <c r="C91" s="9" t="inlineStr">
        <is>
          <t>Natation</t>
        </is>
      </c>
      <c r="D91" s="5" t="inlineStr">
        <is>
          <t>Natation endurance</t>
        </is>
      </c>
      <c r="E91" s="3" t="n">
        <v>56</v>
      </c>
      <c r="F91" s="5" t="inlineStr">
        <is>
          <t>-</t>
        </is>
      </c>
      <c r="G91" s="3" t="n">
        <v>4</v>
      </c>
      <c r="H91" s="6" t="inlineStr">
        <is>
          <t>Échauffement : 200 m souple (110-126 bpm, 2:29/100 m)
Série principale : 5 x 300 m à allure soutenue (135-148 bpm, 2:12/100 m) — repos 20 s + 150 m à la suite, même allure
Retour au calme : 200 m souple (110-126 bpm)
Consigne : allure constante sur chaque répétition ; sighting toutes les 6-8 cycles de bras
Total : 2050 m</t>
        </is>
      </c>
      <c r="I91" s="3" t="n"/>
      <c r="J91" s="3" t="n"/>
      <c r="K91" s="3" t="n">
        <v>2050</v>
      </c>
    </row>
    <row r="92" ht="36" customHeight="1" s="159">
      <c r="A92" s="175" t="n">
        <v>46317</v>
      </c>
      <c r="B92" s="3" t="inlineStr">
        <is>
          <t>Jeudi</t>
        </is>
      </c>
      <c r="C92" s="7" t="inlineStr">
        <is>
          <t>Course</t>
        </is>
      </c>
      <c r="D92" s="5" t="inlineStr">
        <is>
          <t>EF Z2 + accélérations</t>
        </is>
      </c>
      <c r="E92" s="3" t="n">
        <v>34</v>
      </c>
      <c r="F92" s="5" t="inlineStr">
        <is>
          <t>Z1-Z2</t>
        </is>
      </c>
      <c r="G92" s="3" t="n">
        <v>2</v>
      </c>
      <c r="H92" s="6" t="inlineStr">
        <is>
          <t>34' EF Z2 (127-140 bpm)
6x20'' accélérations en fin — allure libre
Très facile, aucune pression chrono</t>
        </is>
      </c>
      <c r="I92" s="3" t="n">
        <v>5.5</v>
      </c>
      <c r="J92" s="3" t="n"/>
      <c r="K92" s="3" t="n"/>
    </row>
    <row r="93" ht="60" customHeight="1" s="159">
      <c r="A93" s="175" t="n">
        <v>46318</v>
      </c>
      <c r="B93" s="3" t="inlineStr">
        <is>
          <t>Vendredi</t>
        </is>
      </c>
      <c r="C93" s="8" t="inlineStr">
        <is>
          <t>Vélo</t>
        </is>
      </c>
      <c r="D93" s="5" t="inlineStr">
        <is>
          <t>Force spécifique</t>
        </is>
      </c>
      <c r="E93" s="3" t="n">
        <v>103</v>
      </c>
      <c r="F93" s="5" t="inlineStr">
        <is>
          <t>Z2-Z3</t>
        </is>
      </c>
      <c r="G93" s="3" t="n">
        <v>5</v>
      </c>
      <c r="H93" s="6">
        <f>"72'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40g glucides/h si &gt;90'"&amp;CHAR(10)&amp;"10' RC (127-140 bpm / "&amp;IF(FTP&gt;0,TEXT(ROUND(FTP*60/500,0)*5,"0"),"?")&amp;"-"&amp;IF(FTP&gt;0,TEXT(ROUND(FTP*70/500,0)*5,"0"),"?")&amp;" W"&amp;")"</f>
        <v/>
      </c>
      <c r="I93" s="3" t="n"/>
      <c r="J93" s="3" t="n">
        <v>48</v>
      </c>
      <c r="K93" s="3" t="n"/>
    </row>
    <row r="94" ht="84" customHeight="1" s="159">
      <c r="A94" s="175" t="n">
        <v>46319</v>
      </c>
      <c r="B94" s="3" t="inlineStr">
        <is>
          <t>Samedi</t>
        </is>
      </c>
      <c r="C94" s="9" t="inlineStr">
        <is>
          <t>Natation</t>
        </is>
      </c>
      <c r="D94" s="5" t="inlineStr">
        <is>
          <t>Natation technique + bloc IM</t>
        </is>
      </c>
      <c r="E94" s="3" t="n">
        <v>87</v>
      </c>
      <c r="F94" s="5" t="inlineStr">
        <is>
          <t>-</t>
        </is>
      </c>
      <c r="G94" s="3" t="n">
        <v>4</v>
      </c>
      <c r="H94" s="6" t="inlineStr">
        <is>
          <t>Échauffement : 4 x 50 m facile (108-117 bpm) — repos 30 s
Éducatifs : 8 x 50 m (catch-up, finger drag, sighting) — repos 30 s
Bloc continu : 600 m à allure IM, sans arrêt (135-148 bpm, 2:15/100 m) — sighting toutes les 6-8 cycles de bras
Pull buoy : 15 x 100 m (135-148 bpm, 2:12/100 m) — repos 30 s
Retour au calme : 200 m souple (110-126 bpm)
Total : 2900 m</t>
        </is>
      </c>
      <c r="I94" s="3" t="n"/>
      <c r="J94" s="3" t="n"/>
      <c r="K94" s="3" t="n">
        <v>2900</v>
      </c>
    </row>
    <row r="95" ht="24" customHeight="1" s="159">
      <c r="A95" s="175" t="n">
        <v>46319</v>
      </c>
      <c r="B95" s="3" t="inlineStr">
        <is>
          <t>Samedi</t>
        </is>
      </c>
      <c r="C95" s="7" t="inlineStr">
        <is>
          <t>Course</t>
        </is>
      </c>
      <c r="D95" s="5" t="inlineStr">
        <is>
          <t>SORTIE LONGUE Z2 — 74' (12 km)</t>
        </is>
      </c>
      <c r="E95" s="3" t="n">
        <v>74</v>
      </c>
      <c r="F95" s="5" t="inlineStr">
        <is>
          <t>Z2</t>
        </is>
      </c>
      <c r="G95" s="3" t="n">
        <v>5</v>
      </c>
      <c r="H95" s="6" t="inlineStr">
        <is>
          <t>Z2 74' stable (127-140 bpm)
Allure conversationnelle — cadence 170-175 spm</t>
        </is>
      </c>
      <c r="I95" s="3" t="n">
        <v>12</v>
      </c>
      <c r="J95" s="3" t="n"/>
      <c r="K95" s="3" t="n"/>
    </row>
    <row r="96" ht="36" customHeight="1" s="159">
      <c r="A96" s="175" t="n">
        <v>46320</v>
      </c>
      <c r="B96" s="3" t="inlineStr">
        <is>
          <t>Dimanche</t>
        </is>
      </c>
      <c r="C96" s="8" t="inlineStr">
        <is>
          <t>Vélo</t>
        </is>
      </c>
      <c r="D96" s="5" t="inlineStr">
        <is>
          <t>Sortie longue — 257' (120.0 km)</t>
        </is>
      </c>
      <c r="E96" s="3" t="n">
        <v>257</v>
      </c>
      <c r="F96" s="5" t="inlineStr">
        <is>
          <t>Z2-Z3</t>
        </is>
      </c>
      <c r="G96" s="3" t="n">
        <v>6</v>
      </c>
      <c r="H96" s="6">
        <f>"257' Z2 (127-140 bpm / "&amp;IF(FTP&gt;0,TEXT(ROUND(FTP*60/500,0)*5,"0"),"?")&amp;"-"&amp;IF(FTP&gt;0,TEXT(ROUND(FTP*70/500,0)*5,"0"),"?")&amp;" W"&amp;")"&amp;CHAR(10)&amp;"Cadence 85-92 rpm"&amp;CHAR(10)&amp;"NUTRITION : 40g glucides/h si &gt;60'"</f>
        <v/>
      </c>
      <c r="I96" s="3" t="n"/>
      <c r="J96" s="3" t="n">
        <v>120</v>
      </c>
      <c r="K96" s="3" t="n"/>
    </row>
    <row r="97" ht="72" customHeight="1" s="159">
      <c r="A97" s="175" t="n">
        <v>46320</v>
      </c>
      <c r="B97" s="3" t="inlineStr">
        <is>
          <t>Dimanche</t>
        </is>
      </c>
      <c r="C97" s="9" t="inlineStr">
        <is>
          <t>Natation</t>
        </is>
      </c>
      <c r="D97" s="5" t="inlineStr">
        <is>
          <t>Natation endurance</t>
        </is>
      </c>
      <c r="E97" s="3" t="n">
        <v>52</v>
      </c>
      <c r="F97" s="5" t="inlineStr">
        <is>
          <t>-</t>
        </is>
      </c>
      <c r="G97" s="3" t="n">
        <v>4</v>
      </c>
      <c r="H97" s="6" t="inlineStr">
        <is>
          <t>Échauffement : 200 m souple (110-126 bpm, 2:29/100 m)
Série principale : 7 x 200 m à allure soutenue (135-148 bpm, 2:12/100 m) — repos 20 s + 50 m à la suite, même allure
Retour au calme : 200 m souple (110-126 bpm)
Consigne : allure constante sur chaque répétition ; sighting toutes les 6-8 cycles de bras
Total : 1850 m</t>
        </is>
      </c>
      <c r="I97" s="3" t="n"/>
      <c r="J97" s="3" t="n"/>
      <c r="K97" s="3" t="n">
        <v>1850</v>
      </c>
    </row>
    <row r="98" ht="15" customHeight="1" s="159">
      <c r="A98" s="10" t="n"/>
      <c r="B98" s="10" t="n"/>
      <c r="C98" s="10" t="n"/>
      <c r="D98" s="10" t="n"/>
      <c r="E98" s="10" t="n"/>
      <c r="F98" s="10" t="n"/>
      <c r="G98" s="10" t="n"/>
      <c r="H98" s="11" t="inlineStr">
        <is>
          <t>TOTAL SEMAINE</t>
        </is>
      </c>
      <c r="I98" s="10">
        <f>SUM(I87:I97)</f>
        <v/>
      </c>
      <c r="J98" s="10">
        <f>SUM(J87:J97)</f>
        <v/>
      </c>
      <c r="K98" s="10">
        <f>SUM(K87:K97)</f>
        <v/>
      </c>
    </row>
    <row r="99" ht="15" customHeight="1" s="159">
      <c r="A99" s="152" t="inlineStr">
        <is>
          <t xml:space="preserve">  S09 — 26/10/2026 → 01/11/2026   |     Phase 1 — Base (Deload)</t>
        </is>
      </c>
    </row>
    <row r="100" ht="15" customHeight="1" s="159">
      <c r="A100" s="175" t="n">
        <v>46321</v>
      </c>
      <c r="B100" s="3" t="inlineStr">
        <is>
          <t>Lundi</t>
        </is>
      </c>
      <c r="C100" s="4" t="inlineStr">
        <is>
          <t>Repos</t>
        </is>
      </c>
      <c r="D100" s="5" t="inlineStr">
        <is>
          <t>OFF</t>
        </is>
      </c>
      <c r="E100" s="3" t="inlineStr">
        <is>
          <t>-</t>
        </is>
      </c>
      <c r="F100" s="5" t="inlineStr">
        <is>
          <t>-</t>
        </is>
      </c>
      <c r="G100" s="3" t="n">
        <v>1</v>
      </c>
      <c r="H100" s="6" t="inlineStr">
        <is>
          <t>Repos complet</t>
        </is>
      </c>
      <c r="I100" s="3" t="n"/>
      <c r="J100" s="3" t="n"/>
      <c r="K100" s="3" t="n"/>
    </row>
    <row r="101" ht="120" customHeight="1" s="159">
      <c r="A101" s="175" t="n">
        <v>46322</v>
      </c>
      <c r="B101" s="3" t="inlineStr">
        <is>
          <t>Mardi</t>
        </is>
      </c>
      <c r="C101" s="7" t="inlineStr">
        <is>
          <t>Course</t>
        </is>
      </c>
      <c r="D101" s="5" t="inlineStr">
        <is>
          <t>Qualité — 1km lent/rapide x2 (80/87%)</t>
        </is>
      </c>
      <c r="E101" s="3" t="n">
        <v>46</v>
      </c>
      <c r="F101" s="5" t="inlineStr">
        <is>
          <t>Z2-Z3</t>
        </is>
      </c>
      <c r="G101" s="3" t="n">
        <v>5</v>
      </c>
      <c r="H101" s="6" t="inlineStr">
        <is>
          <t>Objectif : économie de course et relance (alternance lent / rapide)
13' EF Z2 (127-140 bpm)
2 x [1 km à 80% FC max (155 bpm) — 1'15 de repos — 1 km à 87% (169 bpm)]
1'40 de repos entre chaque série
9' EF Z2 (127-140 bpm)</t>
        </is>
      </c>
      <c r="I101" s="3" t="n">
        <v>8</v>
      </c>
      <c r="J101" s="3" t="n"/>
      <c r="K101" s="3" t="n"/>
    </row>
    <row r="102" ht="24" customHeight="1" s="159">
      <c r="A102" s="175" t="n">
        <v>46322</v>
      </c>
      <c r="B102" s="3" t="inlineStr">
        <is>
          <t>Mardi</t>
        </is>
      </c>
      <c r="C102" s="8" t="inlineStr">
        <is>
          <t>Vélo</t>
        </is>
      </c>
      <c r="D102" s="5" t="inlineStr">
        <is>
          <t>Vélo récupération Z1</t>
        </is>
      </c>
      <c r="E102" s="3" t="n">
        <v>32</v>
      </c>
      <c r="F102" s="5" t="inlineStr">
        <is>
          <t>Z2</t>
        </is>
      </c>
      <c r="G102" s="3" t="n">
        <v>2</v>
      </c>
      <c r="H102" s="6">
        <f>"32' Z1 très facile (&lt; 127 bpm / "&amp;IF(FTP&gt;0,TEXT(ROUND(FTP*50/500,0)*5,"0"),"?")&amp;"-"&amp;IF(FTP&gt;0,TEXT(ROUND(FTP*55/500,0)*5,"0"),"?")&amp;" W"&amp;") — récupération active"&amp;CHAR(10)&amp;"Cadence souple 85-90 rpm"</f>
        <v/>
      </c>
      <c r="I102" s="3" t="n"/>
      <c r="J102" s="3" t="n">
        <v>15</v>
      </c>
      <c r="K102" s="3" t="n"/>
    </row>
    <row r="103" ht="60" customHeight="1" s="159">
      <c r="A103" s="175" t="n">
        <v>46323</v>
      </c>
      <c r="B103" s="3" t="inlineStr">
        <is>
          <t>Mercredi</t>
        </is>
      </c>
      <c r="C103" s="8" t="inlineStr">
        <is>
          <t>Vélo</t>
        </is>
      </c>
      <c r="D103" s="5" t="inlineStr">
        <is>
          <t>Vélo clé — 2x15' @ 88% FTP — r=5'</t>
        </is>
      </c>
      <c r="E103" s="3" t="n">
        <v>77</v>
      </c>
      <c r="F103" s="5" t="inlineStr">
        <is>
          <t>Z3</t>
        </is>
      </c>
      <c r="G103" s="3" t="n">
        <v>5</v>
      </c>
      <c r="H103" s="6">
        <f>"32' EF Z2 (127-140 bpm / "&amp;IF(FTP&gt;0,TEXT(ROUND(FTP*60/500,0)*5,"0"),"?")&amp;"-"&amp;IF(FTP&gt;0,TEXT(ROUND(FTP*70/500,0)*5,"0"),"?")&amp;" W"&amp;") | 2x15' @ 88% FTP ("&amp;IF(FTP&gt;0,TEXT(ROUND(FTP*88/500,0)*5,"0"),"?")&amp;" W"&amp;") — r=5'"&amp;CHAR(10)&amp;"Objectif : développer la puissance au seuil (FTP)"&amp;CHAR(10)&amp;"FC bloc cible : ~159 bpm (82% FC max) | Cadence : 87-93 rpm | RPE 7-8/10"&amp;CHAR(10)&amp;"NUTRITION : 50g glucides/h si &gt;90'"&amp;CHAR(10)&amp;"10' RC (127-140 bpm / "&amp;IF(FTP&gt;0,TEXT(ROUND(FTP*60/500,0)*5,"0"),"?")&amp;"-"&amp;IF(FTP&gt;0,TEXT(ROUND(FTP*70/500,0)*5,"0"),"?")&amp;" W"&amp;")"</f>
        <v/>
      </c>
      <c r="I103" s="3" t="n"/>
      <c r="J103" s="3" t="n">
        <v>36</v>
      </c>
      <c r="K103" s="3" t="n"/>
    </row>
    <row r="104" ht="72" customHeight="1" s="159">
      <c r="A104" s="175" t="n">
        <v>46324</v>
      </c>
      <c r="B104" s="3" t="inlineStr">
        <is>
          <t>Jeudi</t>
        </is>
      </c>
      <c r="C104" s="9" t="inlineStr">
        <is>
          <t>Natation</t>
        </is>
      </c>
      <c r="D104" s="5" t="inlineStr">
        <is>
          <t>Natation endurance</t>
        </is>
      </c>
      <c r="E104" s="3" t="n">
        <v>70</v>
      </c>
      <c r="F104" s="5" t="inlineStr">
        <is>
          <t>-</t>
        </is>
      </c>
      <c r="G104" s="3" t="n">
        <v>4</v>
      </c>
      <c r="H104" s="6" t="inlineStr">
        <is>
          <t>Échauffement : 200 m souple (110-126 bpm, 2:29/100 m)
Série principale : 7 x 300 m à allure soutenue (135-148 bpm, 2:12/100 m) — repos 20 s + 50 m à la suite, même allure
Retour au calme : 200 m souple (110-126 bpm)
Consigne : allure constante sur chaque répétition ; sighting toutes les 6-8 cycles de bras
Total : 2550 m</t>
        </is>
      </c>
      <c r="I104" s="3" t="n"/>
      <c r="J104" s="3" t="n"/>
      <c r="K104" s="3" t="n">
        <v>2550</v>
      </c>
    </row>
    <row r="105" ht="24" customHeight="1" s="159">
      <c r="A105" s="175" t="n">
        <v>46324</v>
      </c>
      <c r="B105" s="3" t="inlineStr">
        <is>
          <t>Jeudi</t>
        </is>
      </c>
      <c r="C105" s="7" t="inlineStr">
        <is>
          <t>Course</t>
        </is>
      </c>
      <c r="D105" s="5" t="inlineStr">
        <is>
          <t>EF + strides</t>
        </is>
      </c>
      <c r="E105" s="3" t="n">
        <v>19</v>
      </c>
      <c r="F105" s="5" t="inlineStr">
        <is>
          <t>Z1-Z2</t>
        </is>
      </c>
      <c r="G105" s="3" t="n">
        <v>2</v>
      </c>
      <c r="H105" s="6" t="inlineStr">
        <is>
          <t>19' EF Z2 (127-140 bpm) | 4x20'' strides
Jamais &gt; Z2</t>
        </is>
      </c>
      <c r="I105" s="3" t="n">
        <v>3</v>
      </c>
      <c r="J105" s="3" t="n"/>
      <c r="K105" s="3" t="n"/>
    </row>
    <row r="106" ht="48" customHeight="1" s="159">
      <c r="A106" s="175" t="n">
        <v>46325</v>
      </c>
      <c r="B106" s="3" t="inlineStr">
        <is>
          <t>Vendredi</t>
        </is>
      </c>
      <c r="C106" s="8" t="inlineStr">
        <is>
          <t>Vélo</t>
        </is>
      </c>
      <c r="D106" s="5" t="inlineStr">
        <is>
          <t>Force légère</t>
        </is>
      </c>
      <c r="E106" s="3" t="n">
        <v>66</v>
      </c>
      <c r="F106" s="5" t="inlineStr">
        <is>
          <t>Z2-Z3</t>
        </is>
      </c>
      <c r="G106" s="3" t="n">
        <v>3</v>
      </c>
      <c r="H106" s="6">
        <f>"35'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106" s="3" t="n"/>
      <c r="J106" s="3" t="n">
        <v>31</v>
      </c>
      <c r="K106" s="3" t="n"/>
    </row>
    <row r="107" ht="84" customHeight="1" s="159">
      <c r="A107" s="175" t="n">
        <v>46326</v>
      </c>
      <c r="B107" s="3" t="inlineStr">
        <is>
          <t>Samedi</t>
        </is>
      </c>
      <c r="C107" s="9" t="inlineStr">
        <is>
          <t>Natation</t>
        </is>
      </c>
      <c r="D107" s="5" t="inlineStr">
        <is>
          <t>Natation technique + bloc IM</t>
        </is>
      </c>
      <c r="E107" s="3" t="n">
        <v>64</v>
      </c>
      <c r="F107" s="5" t="inlineStr">
        <is>
          <t>-</t>
        </is>
      </c>
      <c r="G107" s="3" t="n">
        <v>4</v>
      </c>
      <c r="H107" s="6" t="inlineStr">
        <is>
          <t>Échauffement : 4 x 50 m facile (108-117 bpm) — repos 30 s
Éducatifs : 8 x 50 m (catch-up, finger drag, sighting) — repos 30 s
Bloc continu : 400 m à allure IM, sans arrêt (135-148 bpm, 2:15/100 m) — sighting toutes les 6-8 cycles de bras
Pull buoy : 7 x 100 m (135-148 bpm, 2:12/100 m) — repos 30 s + 50 m à la suite
Retour au calme : 200 m souple (110-126 bpm)
Total : 1950 m</t>
        </is>
      </c>
      <c r="I107" s="3" t="n"/>
      <c r="J107" s="3" t="n"/>
      <c r="K107" s="3" t="n">
        <v>1950</v>
      </c>
    </row>
    <row r="108" ht="24" customHeight="1" s="159">
      <c r="A108" s="175" t="n">
        <v>46326</v>
      </c>
      <c r="B108" s="3" t="inlineStr">
        <is>
          <t>Samedi</t>
        </is>
      </c>
      <c r="C108" s="7" t="inlineStr">
        <is>
          <t>Course</t>
        </is>
      </c>
      <c r="D108" s="5" t="inlineStr">
        <is>
          <t>SORTIE LONGUE Z2 — 49' (7 km)</t>
        </is>
      </c>
      <c r="E108" s="3" t="n">
        <v>49</v>
      </c>
      <c r="F108" s="5" t="inlineStr">
        <is>
          <t>Z2</t>
        </is>
      </c>
      <c r="G108" s="3" t="n">
        <v>5</v>
      </c>
      <c r="H108" s="6" t="inlineStr">
        <is>
          <t>Z2 49' — allure conversationnelle
FC : 127-140 bpm</t>
        </is>
      </c>
      <c r="I108" s="3" t="n">
        <v>7</v>
      </c>
      <c r="J108" s="3" t="n"/>
      <c r="K108" s="3" t="n"/>
    </row>
    <row r="109" ht="48" customHeight="1" s="159">
      <c r="A109" s="175" t="n">
        <v>46327</v>
      </c>
      <c r="B109" s="3" t="inlineStr">
        <is>
          <t>Dimanche</t>
        </is>
      </c>
      <c r="C109" s="8" t="inlineStr">
        <is>
          <t>Vélo</t>
        </is>
      </c>
      <c r="D109" s="5" t="inlineStr">
        <is>
          <t>Sortie longue — 167' (78.0 km)</t>
        </is>
      </c>
      <c r="E109" s="3" t="n">
        <v>167</v>
      </c>
      <c r="F109" s="5" t="inlineStr">
        <is>
          <t>Z2-Z3</t>
        </is>
      </c>
      <c r="G109" s="3" t="n">
        <v>4</v>
      </c>
      <c r="H109" s="6">
        <f>"167' Z2 (127-140 bpm / "&amp;IF(FTP&gt;0,TEXT(ROUND(FTP*60/500,0)*5,"0"),"?")&amp;"-"&amp;IF(FTP&gt;0,TEXT(ROUND(FTP*70/500,0)*5,"0"),"?")&amp;" W"&amp;")"&amp;CHAR(10)&amp;"Cadence 85-92 rpm"&amp;CHAR(10)&amp;"Semaine deload — volume réduit"&amp;CHAR(10)&amp;"NUTRITION : 50g glucides/h si &gt;60'"</f>
        <v/>
      </c>
      <c r="I109" s="3" t="n"/>
      <c r="J109" s="3" t="n">
        <v>78</v>
      </c>
      <c r="K109" s="3" t="n"/>
    </row>
    <row r="110" ht="15" customHeight="1" s="159">
      <c r="A110" s="10" t="n"/>
      <c r="B110" s="10" t="n"/>
      <c r="C110" s="10" t="n"/>
      <c r="D110" s="10" t="n"/>
      <c r="E110" s="10" t="n"/>
      <c r="F110" s="10" t="n"/>
      <c r="G110" s="10" t="n"/>
      <c r="H110" s="11" t="inlineStr">
        <is>
          <t>TOTAL SEMAINE</t>
        </is>
      </c>
      <c r="I110" s="10">
        <f>SUM(I100:I109)</f>
        <v/>
      </c>
      <c r="J110" s="10">
        <f>SUM(J100:J109)</f>
        <v/>
      </c>
      <c r="K110" s="10">
        <f>SUM(K100:K109)</f>
        <v/>
      </c>
    </row>
    <row r="111" ht="15" customHeight="1" s="159">
      <c r="A111" s="146" t="inlineStr">
        <is>
          <t xml:space="preserve">  S10 — 02/11/2026 → 08/11/2026   |     Phase 1 — Base</t>
        </is>
      </c>
    </row>
    <row r="112" ht="15" customHeight="1" s="159">
      <c r="A112" s="175" t="n">
        <v>46328</v>
      </c>
      <c r="B112" s="3" t="inlineStr">
        <is>
          <t>Lundi</t>
        </is>
      </c>
      <c r="C112" s="4" t="inlineStr">
        <is>
          <t>Repos</t>
        </is>
      </c>
      <c r="D112" s="5" t="inlineStr">
        <is>
          <t>OFF</t>
        </is>
      </c>
      <c r="E112" s="3" t="inlineStr">
        <is>
          <t>-</t>
        </is>
      </c>
      <c r="F112" s="5" t="inlineStr">
        <is>
          <t>-</t>
        </is>
      </c>
      <c r="G112" s="3" t="n">
        <v>1</v>
      </c>
      <c r="H112" s="6" t="inlineStr">
        <is>
          <t>Repos complet</t>
        </is>
      </c>
      <c r="I112" s="3" t="n"/>
      <c r="J112" s="3" t="n"/>
      <c r="K112" s="3" t="n"/>
    </row>
    <row r="113" ht="192" customHeight="1" s="159">
      <c r="A113" s="175" t="n">
        <v>46329</v>
      </c>
      <c r="B113" s="3" t="inlineStr">
        <is>
          <t>Mardi</t>
        </is>
      </c>
      <c r="C113" s="7" t="inlineStr">
        <is>
          <t>Course</t>
        </is>
      </c>
      <c r="D113" s="5" t="inlineStr">
        <is>
          <t>Qualité — Pyramide 400-300-200-100m x2</t>
        </is>
      </c>
      <c r="E113" s="3" t="n">
        <v>57</v>
      </c>
      <c r="F113" s="5" t="inlineStr">
        <is>
          <t>Z3-Z4</t>
        </is>
      </c>
      <c r="G113" s="3" t="n">
        <v>7</v>
      </c>
      <c r="H113" s="6" t="inlineStr">
        <is>
          <t>Objectif : vélocité et économie de course (fractions courtes)
20' EF Z2 (127-140 bpm)
400m à 80% (155 bpm)
400m à 87% (169 bpm)
300m à 80% (155 bpm)
300m à 90% (175 bpm)
200m à 80% (155 bpm)
200m à 92% (178 bpm)
100m à 80% (155 bpm)
100m à 95% (184 bpm)
x2 avec 3' de repos entre séries
13' EF Z2 (127-140 bpm)</t>
        </is>
      </c>
      <c r="I113" s="3" t="n">
        <v>9.5</v>
      </c>
      <c r="J113" s="3" t="n"/>
      <c r="K113" s="3" t="n"/>
    </row>
    <row r="114" ht="24" customHeight="1" s="159">
      <c r="A114" s="175" t="n">
        <v>46329</v>
      </c>
      <c r="B114" s="3" t="inlineStr">
        <is>
          <t>Mardi</t>
        </is>
      </c>
      <c r="C114" s="8" t="inlineStr">
        <is>
          <t>Vélo</t>
        </is>
      </c>
      <c r="D114" s="5" t="inlineStr">
        <is>
          <t>Vélo récupération Z1</t>
        </is>
      </c>
      <c r="E114" s="3" t="n">
        <v>43</v>
      </c>
      <c r="F114" s="5" t="inlineStr">
        <is>
          <t>Z2</t>
        </is>
      </c>
      <c r="G114" s="3" t="n">
        <v>2</v>
      </c>
      <c r="H114" s="6">
        <f>"43' Z1 très facile (&lt; 127 bpm / "&amp;IF(FTP&gt;0,TEXT(ROUND(FTP*50/500,0)*5,"0"),"?")&amp;"-"&amp;IF(FTP&gt;0,TEXT(ROUND(FTP*55/500,0)*5,"0"),"?")&amp;" W"&amp;") — récupération active"&amp;CHAR(10)&amp;"Cadence souple 85-90 rpm"</f>
        <v/>
      </c>
      <c r="I114" s="3" t="n"/>
      <c r="J114" s="3" t="n">
        <v>20</v>
      </c>
      <c r="K114" s="3" t="n"/>
    </row>
    <row r="115" ht="132" customHeight="1" s="159">
      <c r="A115" s="175" t="n">
        <v>46330</v>
      </c>
      <c r="B115" s="3" t="inlineStr">
        <is>
          <t>Mercredi</t>
        </is>
      </c>
      <c r="C115" s="8" t="inlineStr">
        <is>
          <t>Vélo</t>
        </is>
      </c>
      <c r="D115" s="5" t="inlineStr">
        <is>
          <t>Vélo clé — Test FTP 20'</t>
        </is>
      </c>
      <c r="E115" s="3" t="n">
        <v>116</v>
      </c>
      <c r="F115" s="5" t="inlineStr">
        <is>
          <t>Z4</t>
        </is>
      </c>
      <c r="G115" s="3" t="n">
        <v>9</v>
      </c>
      <c r="H115" s="6">
        <f>"25' EF Z2 (127-140 bpm / "&amp;IF(FTP&gt;0,TEXT(ROUND(FTP*60/500,0)*5,"0"),"?")&amp;"-"&amp;IF(FTP&gt;0,TEXT(ROUND(FTP*70/500,0)*5,"0"),"?")&amp;" W"&amp;") dont 3x1' rapide (110 rpm) | 5' très facile (127-140 bpm / "&amp;IF(FTP&gt;0,TEXT(ROUND(FTP*50/500,0)*5,"0"),"?")&amp;"-"&amp;IF(FTP&gt;0,TEXT(ROUND(FTP*60/500,0)*5,"0"),"?")&amp;" W"&amp;") | 20' test — effort maximal régulier"&amp;CHAR(10)&amp;"Objectif : mesurer ta FTP (frais, après la semaine de décharge)"&amp;CHAR(10)&amp;"Départ : 5 premières minutes @ 100% FTP ("&amp;IF(FTP&gt;0,TEXT(ROUND(FTP*100/500,0)*5,"0"),"?")&amp;" W"&amp;"), puis augmente de 5 W toutes les 5' si tu te sens bien — note la puissance moyenne des 20' et la FC moyenne des 10 dernières minutes | Cadence : 85-95 rpm | RPE 9/10"&amp;CHAR(10)&amp;"Calcul : FTP = 0,95 × puissance moyenne des 20' — à reporter dans la case FTP de l'onglet Repères vélo"&amp;CHAR(10)&amp;"56' EF Z2 (127-140 bpm / "&amp;IF(FTP&gt;0,TEXT(ROUND(FTP*60/500,0)*5,"0"),"?")&amp;"-"&amp;IF(FTP&gt;0,TEXT(ROUND(FTP*70/500,0)*5,"0"),"?")&amp;" W"&amp;")"&amp;CHAR(10)&amp;"NUTRITION : 50g glucides/h si &gt;90'"&amp;CHAR(10)&amp;"10' RC (127-140 bpm / "&amp;IF(FTP&gt;0,TEXT(ROUND(FTP*60/500,0)*5,"0"),"?")&amp;"-"&amp;IF(FTP&gt;0,TEXT(ROUND(FTP*70/500,0)*5,"0"),"?")&amp;" W"&amp;")"</f>
        <v/>
      </c>
      <c r="I115" s="3" t="n"/>
      <c r="J115" s="3" t="n">
        <v>54</v>
      </c>
      <c r="K115" s="3" t="n"/>
    </row>
    <row r="116" ht="96" customHeight="1" s="159">
      <c r="A116" s="175" t="n">
        <v>46331</v>
      </c>
      <c r="B116" s="3" t="inlineStr">
        <is>
          <t>Jeudi</t>
        </is>
      </c>
      <c r="C116" s="9" t="inlineStr">
        <is>
          <t>Natation</t>
        </is>
      </c>
      <c r="D116" s="5" t="inlineStr">
        <is>
          <t>Natation seuil + soutenu</t>
        </is>
      </c>
      <c r="E116" s="3" t="n">
        <v>58</v>
      </c>
      <c r="F116" s="5" t="inlineStr">
        <is>
          <t>-</t>
        </is>
      </c>
      <c r="G116" s="3" t="n">
        <v>6</v>
      </c>
      <c r="H116" s="6" t="inlineStr">
        <is>
          <t>Échauffement : 200 m souple (110-126 bpm, 2:29/100 m)
Série seuil : 8 x 100 m à l'allure CSS (150-160 bpm, 2:09/100 m) — repos 15 s
Série soutenue : 4 x 200 m à allure soutenue (135-148 bpm, 2:12/100 m) — repos 20 s + 100 m à la suite, même allure
Retour au calme : 200 m souple (110-126 bpm)
Consigne : seuil = effort dur mais régulier, même chrono sur chaque 100 m ; sighting toutes les 6-8 cycles de bras
Total : 2100 m</t>
        </is>
      </c>
      <c r="I116" s="3" t="n"/>
      <c r="J116" s="3" t="n"/>
      <c r="K116" s="3" t="n">
        <v>2100</v>
      </c>
    </row>
    <row r="117" ht="36" customHeight="1" s="159">
      <c r="A117" s="175" t="n">
        <v>46331</v>
      </c>
      <c r="B117" s="3" t="inlineStr">
        <is>
          <t>Jeudi</t>
        </is>
      </c>
      <c r="C117" s="7" t="inlineStr">
        <is>
          <t>Course</t>
        </is>
      </c>
      <c r="D117" s="5" t="inlineStr">
        <is>
          <t>EF Z2 + accélérations</t>
        </is>
      </c>
      <c r="E117" s="3" t="n">
        <v>34</v>
      </c>
      <c r="F117" s="5" t="inlineStr">
        <is>
          <t>Z1-Z2</t>
        </is>
      </c>
      <c r="G117" s="3" t="n">
        <v>2</v>
      </c>
      <c r="H117" s="6" t="inlineStr">
        <is>
          <t>34' EF Z2 (127-140 bpm)
6x20'' accélérations en fin — allure libre
Très facile, aucune pression chrono</t>
        </is>
      </c>
      <c r="I117" s="3" t="n">
        <v>5.5</v>
      </c>
      <c r="J117" s="3" t="n"/>
      <c r="K117" s="3" t="n"/>
    </row>
    <row r="118" ht="60" customHeight="1" s="159">
      <c r="A118" s="175" t="n">
        <v>46332</v>
      </c>
      <c r="B118" s="3" t="inlineStr">
        <is>
          <t>Vendredi</t>
        </is>
      </c>
      <c r="C118" s="8" t="inlineStr">
        <is>
          <t>Vélo</t>
        </is>
      </c>
      <c r="D118" s="5" t="inlineStr">
        <is>
          <t>Force spécifique</t>
        </is>
      </c>
      <c r="E118" s="3" t="n">
        <v>105</v>
      </c>
      <c r="F118" s="5" t="inlineStr">
        <is>
          <t>Z2-Z3</t>
        </is>
      </c>
      <c r="G118" s="3" t="n">
        <v>5</v>
      </c>
      <c r="H118" s="6">
        <f>"70'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50g glucides/h si &gt;90'"&amp;CHAR(10)&amp;"10' RC (127-140 bpm / "&amp;IF(FTP&gt;0,TEXT(ROUND(FTP*60/500,0)*5,"0"),"?")&amp;"-"&amp;IF(FTP&gt;0,TEXT(ROUND(FTP*70/500,0)*5,"0"),"?")&amp;" W"&amp;")"</f>
        <v/>
      </c>
      <c r="I118" s="3" t="n"/>
      <c r="J118" s="3" t="n">
        <v>49</v>
      </c>
      <c r="K118" s="3" t="n"/>
    </row>
    <row r="119" ht="84" customHeight="1" s="159">
      <c r="A119" s="175" t="n">
        <v>46333</v>
      </c>
      <c r="B119" s="3" t="inlineStr">
        <is>
          <t>Samedi</t>
        </is>
      </c>
      <c r="C119" s="9" t="inlineStr">
        <is>
          <t>Natation</t>
        </is>
      </c>
      <c r="D119" s="5" t="inlineStr">
        <is>
          <t>Natation technique + bloc IM</t>
        </is>
      </c>
      <c r="E119" s="3" t="n">
        <v>89</v>
      </c>
      <c r="F119" s="5" t="inlineStr">
        <is>
          <t>-</t>
        </is>
      </c>
      <c r="G119" s="3" t="n">
        <v>4</v>
      </c>
      <c r="H119" s="6" t="inlineStr">
        <is>
          <t>Échauffement : 4 x 50 m facile (108-117 bpm) — repos 30 s
Éducatifs : 8 x 50 m (catch-up, finger drag, sighting) — repos 30 s
Bloc continu : 700 m à allure IM, sans arrêt (135-148 bpm, 2:15/100 m) — sighting toutes les 6-8 cycles de bras
Pull buoy : 15 x 100 m (135-148 bpm, 2:12/100 m) — repos 30 s
Retour au calme : 200 m souple (110-126 bpm)
Total : 3000 m</t>
        </is>
      </c>
      <c r="I119" s="3" t="n"/>
      <c r="J119" s="3" t="n"/>
      <c r="K119" s="3" t="n">
        <v>3000</v>
      </c>
    </row>
    <row r="120" ht="24" customHeight="1" s="159">
      <c r="A120" s="175" t="n">
        <v>46333</v>
      </c>
      <c r="B120" s="3" t="inlineStr">
        <is>
          <t>Samedi</t>
        </is>
      </c>
      <c r="C120" s="7" t="inlineStr">
        <is>
          <t>Course</t>
        </is>
      </c>
      <c r="D120" s="5" t="inlineStr">
        <is>
          <t>SORTIE LONGUE Z2 — 80' (13 km)</t>
        </is>
      </c>
      <c r="E120" s="3" t="n">
        <v>80</v>
      </c>
      <c r="F120" s="5" t="inlineStr">
        <is>
          <t>Z2</t>
        </is>
      </c>
      <c r="G120" s="3" t="n">
        <v>6</v>
      </c>
      <c r="H120" s="6" t="inlineStr">
        <is>
          <t>Z2 80' stable (127-140 bpm)
Allure conversationnelle — cadence 170-175 spm</t>
        </is>
      </c>
      <c r="I120" s="3" t="n">
        <v>13</v>
      </c>
      <c r="J120" s="3" t="n"/>
      <c r="K120" s="3" t="n"/>
    </row>
    <row r="121" ht="36" customHeight="1" s="159">
      <c r="A121" s="175" t="n">
        <v>46334</v>
      </c>
      <c r="B121" s="3" t="inlineStr">
        <is>
          <t>Dimanche</t>
        </is>
      </c>
      <c r="C121" s="8" t="inlineStr">
        <is>
          <t>Vélo</t>
        </is>
      </c>
      <c r="D121" s="5" t="inlineStr">
        <is>
          <t>Sortie longue — 261' (122.0 km)</t>
        </is>
      </c>
      <c r="E121" s="3" t="n">
        <v>261</v>
      </c>
      <c r="F121" s="5" t="inlineStr">
        <is>
          <t>Z2-Z3</t>
        </is>
      </c>
      <c r="G121" s="3" t="n">
        <v>6</v>
      </c>
      <c r="H121" s="6">
        <f>"261' Z2 (127-140 bpm / "&amp;IF(FTP&gt;0,TEXT(ROUND(FTP*60/500,0)*5,"0"),"?")&amp;"-"&amp;IF(FTP&gt;0,TEXT(ROUND(FTP*70/500,0)*5,"0"),"?")&amp;" W"&amp;")"&amp;CHAR(10)&amp;"Cadence 85-92 rpm"&amp;CHAR(10)&amp;"NUTRITION : 50g glucides/h si &gt;60'"</f>
        <v/>
      </c>
      <c r="I121" s="3" t="n"/>
      <c r="J121" s="3" t="n">
        <v>122</v>
      </c>
      <c r="K121" s="3" t="n"/>
    </row>
    <row r="122" ht="72" customHeight="1" s="159">
      <c r="A122" s="175" t="n">
        <v>46334</v>
      </c>
      <c r="B122" s="3" t="inlineStr">
        <is>
          <t>Dimanche</t>
        </is>
      </c>
      <c r="C122" s="9" t="inlineStr">
        <is>
          <t>Natation</t>
        </is>
      </c>
      <c r="D122" s="5" t="inlineStr">
        <is>
          <t>Natation endurance</t>
        </is>
      </c>
      <c r="E122" s="3" t="n">
        <v>53</v>
      </c>
      <c r="F122" s="5" t="inlineStr">
        <is>
          <t>-</t>
        </is>
      </c>
      <c r="G122" s="3" t="n">
        <v>4</v>
      </c>
      <c r="H122" s="6" t="inlineStr">
        <is>
          <t>Échauffement : 200 m souple (110-126 bpm, 2:29/100 m)
Série principale : 7 x 200 m à allure soutenue (135-148 bpm, 2:12/100 m) — repos 20 s + 100 m à la suite, même allure
Retour au calme : 200 m souple (110-126 bpm)
Consigne : allure constante sur chaque répétition ; sighting toutes les 6-8 cycles de bras
Total : 1900 m</t>
        </is>
      </c>
      <c r="I122" s="3" t="n"/>
      <c r="J122" s="3" t="n"/>
      <c r="K122" s="3" t="n">
        <v>1900</v>
      </c>
    </row>
    <row r="123" ht="15" customHeight="1" s="159">
      <c r="A123" s="10" t="n"/>
      <c r="B123" s="10" t="n"/>
      <c r="C123" s="10" t="n"/>
      <c r="D123" s="10" t="n"/>
      <c r="E123" s="10" t="n"/>
      <c r="F123" s="10" t="n"/>
      <c r="G123" s="10" t="n"/>
      <c r="H123" s="11" t="inlineStr">
        <is>
          <t>TOTAL SEMAINE</t>
        </is>
      </c>
      <c r="I123" s="10">
        <f>SUM(I112:I122)</f>
        <v/>
      </c>
      <c r="J123" s="10">
        <f>SUM(J112:J122)</f>
        <v/>
      </c>
      <c r="K123" s="10">
        <f>SUM(K112:K122)</f>
        <v/>
      </c>
    </row>
    <row r="124" ht="15" customHeight="1" s="159">
      <c r="A124" s="146" t="inlineStr">
        <is>
          <t xml:space="preserve">  S11 — 09/11/2026 → 15/11/2026   |     Phase 2 — Build</t>
        </is>
      </c>
    </row>
    <row r="125" ht="15" customHeight="1" s="159">
      <c r="A125" s="175" t="n">
        <v>46335</v>
      </c>
      <c r="B125" s="3" t="inlineStr">
        <is>
          <t>Lundi</t>
        </is>
      </c>
      <c r="C125" s="4" t="inlineStr">
        <is>
          <t>Repos</t>
        </is>
      </c>
      <c r="D125" s="5" t="inlineStr">
        <is>
          <t>OFF</t>
        </is>
      </c>
      <c r="E125" s="3" t="inlineStr">
        <is>
          <t>-</t>
        </is>
      </c>
      <c r="F125" s="5" t="inlineStr">
        <is>
          <t>-</t>
        </is>
      </c>
      <c r="G125" s="3" t="n">
        <v>1</v>
      </c>
      <c r="H125" s="6" t="inlineStr">
        <is>
          <t>Repos complet</t>
        </is>
      </c>
      <c r="I125" s="3" t="n"/>
      <c r="J125" s="3" t="n"/>
      <c r="K125" s="3" t="n"/>
    </row>
    <row r="126" ht="192" customHeight="1" s="159">
      <c r="A126" s="175" t="n">
        <v>46336</v>
      </c>
      <c r="B126" s="3" t="inlineStr">
        <is>
          <t>Mardi</t>
        </is>
      </c>
      <c r="C126" s="7" t="inlineStr">
        <is>
          <t>Course</t>
        </is>
      </c>
      <c r="D126" s="5" t="inlineStr">
        <is>
          <t>Qualité — Pyramide 400-300-200-100m x3</t>
        </is>
      </c>
      <c r="E126" s="3" t="n">
        <v>66</v>
      </c>
      <c r="F126" s="5" t="inlineStr">
        <is>
          <t>Z3-Z4</t>
        </is>
      </c>
      <c r="G126" s="3" t="n">
        <v>7</v>
      </c>
      <c r="H126" s="6" t="inlineStr">
        <is>
          <t>Objectif : vélocité et économie de course (fractions courtes)
18' EF Z2 (127-140 bpm)
400m à 80% (155 bpm)
400m à 87% (169 bpm)
300m à 80% (155 bpm)
300m à 90% (175 bpm)
200m à 80% (155 bpm)
200m à 92% (178 bpm)
100m à 80% (155 bpm)
100m à 95% (184 bpm)
x3 avec 3' de repos entre séries
12' EF Z2 (127-140 bpm)</t>
        </is>
      </c>
      <c r="I126" s="3" t="n">
        <v>11</v>
      </c>
      <c r="J126" s="3" t="n"/>
      <c r="K126" s="3" t="n"/>
    </row>
    <row r="127" ht="24" customHeight="1" s="159">
      <c r="A127" s="175" t="n">
        <v>46336</v>
      </c>
      <c r="B127" s="3" t="inlineStr">
        <is>
          <t>Mardi</t>
        </is>
      </c>
      <c r="C127" s="8" t="inlineStr">
        <is>
          <t>Vélo</t>
        </is>
      </c>
      <c r="D127" s="5" t="inlineStr">
        <is>
          <t>Vélo récupération Z1</t>
        </is>
      </c>
      <c r="E127" s="3" t="n">
        <v>43</v>
      </c>
      <c r="F127" s="5" t="inlineStr">
        <is>
          <t>Z2</t>
        </is>
      </c>
      <c r="G127" s="3" t="n">
        <v>2</v>
      </c>
      <c r="H127" s="6">
        <f>"43' Z1 très facile (&lt; 127 bpm / "&amp;IF(FTP&gt;0,TEXT(ROUND(FTP*50/500,0)*5,"0"),"?")&amp;"-"&amp;IF(FTP&gt;0,TEXT(ROUND(FTP*55/500,0)*5,"0"),"?")&amp;" W"&amp;") — récupération active"&amp;CHAR(10)&amp;"Cadence souple 85-90 rpm"</f>
        <v/>
      </c>
      <c r="I127" s="3" t="n"/>
      <c r="J127" s="3" t="n">
        <v>20</v>
      </c>
      <c r="K127" s="3" t="n"/>
    </row>
    <row r="128" ht="72" customHeight="1" s="159">
      <c r="A128" s="175" t="n">
        <v>46337</v>
      </c>
      <c r="B128" s="3" t="inlineStr">
        <is>
          <t>Mercredi</t>
        </is>
      </c>
      <c r="C128" s="8" t="inlineStr">
        <is>
          <t>Vélo</t>
        </is>
      </c>
      <c r="D128" s="5" t="inlineStr">
        <is>
          <t>Vélo clé — Seuil 4x9' @ 102% FTP — r=4'</t>
        </is>
      </c>
      <c r="E128" s="3" t="n">
        <v>122</v>
      </c>
      <c r="F128" s="5" t="inlineStr">
        <is>
          <t>Z4</t>
        </is>
      </c>
      <c r="G128" s="3" t="n">
        <v>8</v>
      </c>
      <c r="H128" s="6">
        <f>"64' EF Z2 (127-140 bpm / "&amp;IF(FTP&gt;0,TEXT(ROUND(FTP*60/500,0)*5,"0"),"?")&amp;"-"&amp;IF(FTP&gt;0,TEXT(ROUND(FTP*70/500,0)*5,"0"),"?")&amp;" W"&amp;") | 4x9' @ 102% FTP ("&amp;IF(FTP&gt;0,TEXT(ROUND(FTP*102/500,0)*5,"0"),"?")&amp;" W"&amp;") — r=4'"&amp;CHAR(10)&amp;"Objectif : élever le seuil (blocs courts à intensité haute)"&amp;CHAR(10)&amp;"FC bloc cible : ~169 bpm (87% FC max, 6 bpm au-dessus de ton seuil lactique de 163) | Cadence : 88-95 rpm | RPE 8/10"&amp;CHAR(10)&amp;"NUTRITION : 50g glucides/h si &gt;90'"&amp;CHAR(10)&amp;"10' RC (127-140 bpm / "&amp;IF(FTP&gt;0,TEXT(ROUND(FTP*60/500,0)*5,"0"),"?")&amp;"-"&amp;IF(FTP&gt;0,TEXT(ROUND(FTP*70/500,0)*5,"0"),"?")&amp;" W"&amp;")"</f>
        <v/>
      </c>
      <c r="I128" s="3" t="n"/>
      <c r="J128" s="3" t="n">
        <v>57</v>
      </c>
      <c r="K128" s="3" t="n"/>
    </row>
    <row r="129" ht="60" customHeight="1" s="159">
      <c r="A129" s="175" t="n">
        <v>46338</v>
      </c>
      <c r="B129" s="3" t="inlineStr">
        <is>
          <t>Jeudi</t>
        </is>
      </c>
      <c r="C129" s="9" t="inlineStr">
        <is>
          <t>Natation</t>
        </is>
      </c>
      <c r="D129" s="5" t="inlineStr">
        <is>
          <t>Natation endurance</t>
        </is>
      </c>
      <c r="E129" s="3" t="n">
        <v>59</v>
      </c>
      <c r="F129" s="5" t="inlineStr">
        <is>
          <t>-</t>
        </is>
      </c>
      <c r="G129" s="3" t="n">
        <v>4</v>
      </c>
      <c r="H129" s="6" t="inlineStr">
        <is>
          <t>Échauffement : 200 m souple (110-126 bpm, 2:27/100 m)
Série principale : 6 x 300 m à allure soutenue (135-148 bpm, 2:10/100 m) — repos 20 s
Retour au calme : 200 m souple (110-126 bpm)
Consigne : allure constante sur chaque répétition ; sighting toutes les 6-8 cycles de bras
Total : 2200 m</t>
        </is>
      </c>
      <c r="I129" s="3" t="n"/>
      <c r="J129" s="3" t="n"/>
      <c r="K129" s="3" t="n">
        <v>2200</v>
      </c>
    </row>
    <row r="130" ht="36" customHeight="1" s="159">
      <c r="A130" s="175" t="n">
        <v>46338</v>
      </c>
      <c r="B130" s="3" t="inlineStr">
        <is>
          <t>Jeudi</t>
        </is>
      </c>
      <c r="C130" s="7" t="inlineStr">
        <is>
          <t>Course</t>
        </is>
      </c>
      <c r="D130" s="5" t="inlineStr">
        <is>
          <t>EF Z2 + accélérations</t>
        </is>
      </c>
      <c r="E130" s="3" t="n">
        <v>37</v>
      </c>
      <c r="F130" s="5" t="inlineStr">
        <is>
          <t>Z1-Z2</t>
        </is>
      </c>
      <c r="G130" s="3" t="n">
        <v>2</v>
      </c>
      <c r="H130" s="6" t="inlineStr">
        <is>
          <t>37' EF Z2 (127-140 bpm)
6x20'' accélérations en fin — allure libre
Très facile, aucune pression chrono</t>
        </is>
      </c>
      <c r="I130" s="3" t="n">
        <v>6</v>
      </c>
      <c r="J130" s="3" t="n"/>
      <c r="K130" s="3" t="n"/>
    </row>
    <row r="131" ht="60" customHeight="1" s="159">
      <c r="A131" s="175" t="n">
        <v>46339</v>
      </c>
      <c r="B131" s="3" t="inlineStr">
        <is>
          <t>Vendredi</t>
        </is>
      </c>
      <c r="C131" s="8" t="inlineStr">
        <is>
          <t>Vélo</t>
        </is>
      </c>
      <c r="D131" s="5" t="inlineStr">
        <is>
          <t>Force spécifique</t>
        </is>
      </c>
      <c r="E131" s="3" t="n">
        <v>107</v>
      </c>
      <c r="F131" s="5" t="inlineStr">
        <is>
          <t>Z2-Z3</t>
        </is>
      </c>
      <c r="G131" s="3" t="n">
        <v>5</v>
      </c>
      <c r="H131" s="6">
        <f>"72'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50g glucides/h si &gt;90'"&amp;CHAR(10)&amp;"10' RC (127-140 bpm / "&amp;IF(FTP&gt;0,TEXT(ROUND(FTP*60/500,0)*5,"0"),"?")&amp;"-"&amp;IF(FTP&gt;0,TEXT(ROUND(FTP*70/500,0)*5,"0"),"?")&amp;" W"&amp;")"</f>
        <v/>
      </c>
      <c r="I131" s="3" t="n"/>
      <c r="J131" s="3" t="n">
        <v>50</v>
      </c>
      <c r="K131" s="3" t="n"/>
    </row>
    <row r="132" ht="84" customHeight="1" s="159">
      <c r="A132" s="175" t="n">
        <v>46340</v>
      </c>
      <c r="B132" s="3" t="inlineStr">
        <is>
          <t>Samedi</t>
        </is>
      </c>
      <c r="C132" s="9" t="inlineStr">
        <is>
          <t>Natation</t>
        </is>
      </c>
      <c r="D132" s="5" t="inlineStr">
        <is>
          <t>Natation technique + bloc IM</t>
        </is>
      </c>
      <c r="E132" s="3" t="n">
        <v>91</v>
      </c>
      <c r="F132" s="5" t="inlineStr">
        <is>
          <t>-</t>
        </is>
      </c>
      <c r="G132" s="3" t="n">
        <v>4</v>
      </c>
      <c r="H132" s="6" t="inlineStr">
        <is>
          <t>Échauffement : 4 x 50 m facile (108-117 bpm) — repos 30 s
Éducatifs : 8 x 50 m (catch-up, finger drag, sighting) — repos 30 s
Bloc continu : 800 m à allure IM, sans arrêt (135-148 bpm, 2:13/100 m) — sighting toutes les 6-8 cycles de bras
Pull buoy : 15 x 100 m (135-148 bpm, 2:10/100 m) — repos 30 s + 50 m à la suite
Retour au calme : 200 m souple (110-126 bpm)
Total : 3150 m</t>
        </is>
      </c>
      <c r="I132" s="3" t="n"/>
      <c r="J132" s="3" t="n"/>
      <c r="K132" s="3" t="n">
        <v>3150</v>
      </c>
    </row>
    <row r="133" ht="24" customHeight="1" s="159">
      <c r="A133" s="175" t="n">
        <v>46340</v>
      </c>
      <c r="B133" s="3" t="inlineStr">
        <is>
          <t>Samedi</t>
        </is>
      </c>
      <c r="C133" s="7" t="inlineStr">
        <is>
          <t>Course</t>
        </is>
      </c>
      <c r="D133" s="5" t="inlineStr">
        <is>
          <t>SORTIE LONGUE Z2 — 86' (14 km)</t>
        </is>
      </c>
      <c r="E133" s="3" t="n">
        <v>86</v>
      </c>
      <c r="F133" s="5" t="inlineStr">
        <is>
          <t>Z2</t>
        </is>
      </c>
      <c r="G133" s="3" t="n">
        <v>6</v>
      </c>
      <c r="H133" s="6" t="inlineStr">
        <is>
          <t>Z2 86' stable (127-140 bpm)
Allure conversationnelle — cadence 170-175 spm</t>
        </is>
      </c>
      <c r="I133" s="3" t="n">
        <v>14</v>
      </c>
      <c r="J133" s="3" t="n"/>
      <c r="K133" s="3" t="n"/>
    </row>
    <row r="134" ht="36" customHeight="1" s="159">
      <c r="A134" s="175" t="n">
        <v>46341</v>
      </c>
      <c r="B134" s="3" t="inlineStr">
        <is>
          <t>Dimanche</t>
        </is>
      </c>
      <c r="C134" s="8" t="inlineStr">
        <is>
          <t>Vélo</t>
        </is>
      </c>
      <c r="D134" s="5" t="inlineStr">
        <is>
          <t>Sortie longue — 268' (125.0 km)</t>
        </is>
      </c>
      <c r="E134" s="3" t="n">
        <v>268</v>
      </c>
      <c r="F134" s="5" t="inlineStr">
        <is>
          <t>Z2-Z3</t>
        </is>
      </c>
      <c r="G134" s="3" t="n">
        <v>6</v>
      </c>
      <c r="H134" s="6">
        <f>"268' Z2 (127-140 bpm / "&amp;IF(FTP&gt;0,TEXT(ROUND(FTP*60/500,0)*5,"0"),"?")&amp;"-"&amp;IF(FTP&gt;0,TEXT(ROUND(FTP*70/500,0)*5,"0"),"?")&amp;" W"&amp;")"&amp;CHAR(10)&amp;"Cadence 85-92 rpm"&amp;CHAR(10)&amp;"NUTRITION : 50g glucides/h si &gt;60'"</f>
        <v/>
      </c>
      <c r="I134" s="3" t="n"/>
      <c r="J134" s="3" t="n">
        <v>125</v>
      </c>
      <c r="K134" s="3" t="n"/>
    </row>
    <row r="135" ht="72" customHeight="1" s="159">
      <c r="A135" s="175" t="n">
        <v>46341</v>
      </c>
      <c r="B135" s="3" t="inlineStr">
        <is>
          <t>Dimanche</t>
        </is>
      </c>
      <c r="C135" s="9" t="inlineStr">
        <is>
          <t>Natation</t>
        </is>
      </c>
      <c r="D135" s="5" t="inlineStr">
        <is>
          <t>Natation endurance</t>
        </is>
      </c>
      <c r="E135" s="3" t="n">
        <v>54</v>
      </c>
      <c r="F135" s="5" t="inlineStr">
        <is>
          <t>-</t>
        </is>
      </c>
      <c r="G135" s="3" t="n">
        <v>4</v>
      </c>
      <c r="H135" s="6" t="inlineStr">
        <is>
          <t>Échauffement : 200 m souple (110-126 bpm, 2:27/100 m)
Série principale : 7 x 200 m à allure soutenue (135-148 bpm, 2:10/100 m) — repos 20 s + 150 m à la suite, même allure
Retour au calme : 200 m souple (110-126 bpm)
Consigne : allure constante sur chaque répétition ; sighting toutes les 6-8 cycles de bras
Total : 1950 m</t>
        </is>
      </c>
      <c r="I135" s="3" t="n"/>
      <c r="J135" s="3" t="n"/>
      <c r="K135" s="3" t="n">
        <v>1950</v>
      </c>
    </row>
    <row r="136" ht="15" customHeight="1" s="159">
      <c r="A136" s="10" t="n"/>
      <c r="B136" s="10" t="n"/>
      <c r="C136" s="10" t="n"/>
      <c r="D136" s="10" t="n"/>
      <c r="E136" s="10" t="n"/>
      <c r="F136" s="10" t="n"/>
      <c r="G136" s="10" t="n"/>
      <c r="H136" s="11" t="inlineStr">
        <is>
          <t>TOTAL SEMAINE</t>
        </is>
      </c>
      <c r="I136" s="10">
        <f>SUM(I125:I135)</f>
        <v/>
      </c>
      <c r="J136" s="10">
        <f>SUM(J125:J135)</f>
        <v/>
      </c>
      <c r="K136" s="10">
        <f>SUM(K125:K135)</f>
        <v/>
      </c>
    </row>
    <row r="137" ht="15" customHeight="1" s="159">
      <c r="A137" s="146" t="inlineStr">
        <is>
          <t xml:space="preserve">  S12 — 16/11/2026 → 22/11/2026   |     Phase 2 — Build</t>
        </is>
      </c>
    </row>
    <row r="138" ht="15" customHeight="1" s="159">
      <c r="A138" s="175" t="n">
        <v>46342</v>
      </c>
      <c r="B138" s="3" t="inlineStr">
        <is>
          <t>Lundi</t>
        </is>
      </c>
      <c r="C138" s="4" t="inlineStr">
        <is>
          <t>Repos</t>
        </is>
      </c>
      <c r="D138" s="5" t="inlineStr">
        <is>
          <t>OFF</t>
        </is>
      </c>
      <c r="E138" s="3" t="inlineStr">
        <is>
          <t>-</t>
        </is>
      </c>
      <c r="F138" s="5" t="inlineStr">
        <is>
          <t>-</t>
        </is>
      </c>
      <c r="G138" s="3" t="n">
        <v>1</v>
      </c>
      <c r="H138" s="6" t="inlineStr">
        <is>
          <t>Repos complet</t>
        </is>
      </c>
      <c r="I138" s="3" t="n"/>
      <c r="J138" s="3" t="n"/>
      <c r="K138" s="3" t="n"/>
    </row>
    <row r="139" ht="120" customHeight="1" s="159">
      <c r="A139" s="175" t="n">
        <v>46343</v>
      </c>
      <c r="B139" s="3" t="inlineStr">
        <is>
          <t>Mardi</t>
        </is>
      </c>
      <c r="C139" s="7" t="inlineStr">
        <is>
          <t>Course</t>
        </is>
      </c>
      <c r="D139" s="5" t="inlineStr">
        <is>
          <t>Tempo — Progressif 3x13' (80/85/90%)</t>
        </is>
      </c>
      <c r="E139" s="3" t="n">
        <v>66</v>
      </c>
      <c r="F139" s="5" t="inlineStr">
        <is>
          <t>Z3-Z4</t>
        </is>
      </c>
      <c r="G139" s="3" t="n">
        <v>6</v>
      </c>
      <c r="H139" s="6" t="inlineStr">
        <is>
          <t>Objectif : progression SV1 → SV2, endurance de seuil
15' EF Z2 (127-140 bpm) + 2-4 lignes droites
13' à 80% FC max (155 bpm)
13' à 85% FC max (165 bpm)
13' à 90% FC max (175 bpm)
(enchaînés, sans repos)
12' EF Z2 (127-140 bpm)</t>
        </is>
      </c>
      <c r="I139" s="3" t="n">
        <v>12</v>
      </c>
      <c r="J139" s="3" t="n"/>
      <c r="K139" s="3" t="n"/>
    </row>
    <row r="140" ht="24" customHeight="1" s="159">
      <c r="A140" s="175" t="n">
        <v>46343</v>
      </c>
      <c r="B140" s="3" t="inlineStr">
        <is>
          <t>Mardi</t>
        </is>
      </c>
      <c r="C140" s="8" t="inlineStr">
        <is>
          <t>Vélo</t>
        </is>
      </c>
      <c r="D140" s="5" t="inlineStr">
        <is>
          <t>Vélo récupération Z1</t>
        </is>
      </c>
      <c r="E140" s="3" t="n">
        <v>47</v>
      </c>
      <c r="F140" s="5" t="inlineStr">
        <is>
          <t>Z2</t>
        </is>
      </c>
      <c r="G140" s="3" t="n">
        <v>2</v>
      </c>
      <c r="H140" s="6">
        <f>"47' Z1 très facile (&lt; 127 bpm / "&amp;IF(FTP&gt;0,TEXT(ROUND(FTP*50/500,0)*5,"0"),"?")&amp;"-"&amp;IF(FTP&gt;0,TEXT(ROUND(FTP*55/500,0)*5,"0"),"?")&amp;" W"&amp;") — récupération active"&amp;CHAR(10)&amp;"Cadence souple 85-90 rpm"</f>
        <v/>
      </c>
      <c r="I140" s="3" t="n"/>
      <c r="J140" s="3" t="n">
        <v>22</v>
      </c>
      <c r="K140" s="3" t="n"/>
    </row>
    <row r="141" ht="84" customHeight="1" s="159">
      <c r="A141" s="175" t="n">
        <v>46344</v>
      </c>
      <c r="B141" s="3" t="inlineStr">
        <is>
          <t>Mercredi</t>
        </is>
      </c>
      <c r="C141" s="8" t="inlineStr">
        <is>
          <t>Vélo</t>
        </is>
      </c>
      <c r="D141" s="5" t="inlineStr">
        <is>
          <t>Vélo clé — Over-unders 2x20' — r=5'</t>
        </is>
      </c>
      <c r="E141" s="3" t="n">
        <v>126</v>
      </c>
      <c r="F141" s="5" t="inlineStr">
        <is>
          <t>Z3-Z4</t>
        </is>
      </c>
      <c r="G141" s="3" t="n">
        <v>7</v>
      </c>
      <c r="H141" s="6">
        <f>"71' EF Z2 (127-140 bpm / "&amp;IF(FTP&gt;0,TEXT(ROUND(FTP*60/500,0)*5,"0"),"?")&amp;"-"&amp;IF(FTP&gt;0,TEXT(ROUND(FTP*70/500,0)*5,"0"),"?")&amp;" W"&amp;") | 2x20' over-unders : 5 x (3' @ 93% FTP (~155 bpm / "&amp;IF(FTP&gt;0,TEXT(ROUND(FTP*93/500,0)*5,"0"),"?")&amp;" W"&amp;") + 1' @ 107% FTP (~171 bpm / "&amp;IF(FTP&gt;0,TEXT(ROUND(FTP*107/500,0)*5,"0"),"?")&amp;" W"&amp;")) — r=5'"&amp;CHAR(10)&amp;"Objectif : tolérance au lactate et relances, alternance sous / au-dessus du seuil"&amp;CHAR(10)&amp;"FC : 155 bpm (80% FC max) sous le seuil | 171 bpm (88%) au-dessus (seuil lactique 163 bpm) | Cadence : 87-93 rpm | RPE 7-8/10"&amp;CHAR(10)&amp;"NUTRITION : 50g glucides/h si &gt;90'"&amp;CHAR(10)&amp;"10' RC (127-140 bpm / "&amp;IF(FTP&gt;0,TEXT(ROUND(FTP*60/500,0)*5,"0"),"?")&amp;"-"&amp;IF(FTP&gt;0,TEXT(ROUND(FTP*70/500,0)*5,"0"),"?")&amp;" W"&amp;")"</f>
        <v/>
      </c>
      <c r="I141" s="3" t="n"/>
      <c r="J141" s="3" t="n">
        <v>59</v>
      </c>
      <c r="K141" s="3" t="n"/>
    </row>
    <row r="142" ht="72" customHeight="1" s="159">
      <c r="A142" s="175" t="n">
        <v>46345</v>
      </c>
      <c r="B142" s="3" t="inlineStr">
        <is>
          <t>Jeudi</t>
        </is>
      </c>
      <c r="C142" s="9" t="inlineStr">
        <is>
          <t>Natation</t>
        </is>
      </c>
      <c r="D142" s="5" t="inlineStr">
        <is>
          <t>Natation endurance</t>
        </is>
      </c>
      <c r="E142" s="3" t="n">
        <v>61</v>
      </c>
      <c r="F142" s="5" t="inlineStr">
        <is>
          <t>-</t>
        </is>
      </c>
      <c r="G142" s="3" t="n">
        <v>4</v>
      </c>
      <c r="H142" s="6" t="inlineStr">
        <is>
          <t>Échauffement : 200 m souple (110-126 bpm, 2:27/100 m)
Série principale : 6 x 300 m à allure soutenue (135-148 bpm, 2:10/100 m) — repos 20 s + 100 m à la suite, même allure
Retour au calme : 200 m souple (110-126 bpm)
Consigne : allure constante sur chaque répétition ; sighting toutes les 6-8 cycles de bras
Total : 2300 m</t>
        </is>
      </c>
      <c r="I142" s="3" t="n"/>
      <c r="J142" s="3" t="n"/>
      <c r="K142" s="3" t="n">
        <v>2300</v>
      </c>
    </row>
    <row r="143" ht="36" customHeight="1" s="159">
      <c r="A143" s="175" t="n">
        <v>46345</v>
      </c>
      <c r="B143" s="3" t="inlineStr">
        <is>
          <t>Jeudi</t>
        </is>
      </c>
      <c r="C143" s="7" t="inlineStr">
        <is>
          <t>Course</t>
        </is>
      </c>
      <c r="D143" s="5" t="inlineStr">
        <is>
          <t>EF Z2 + accélérations</t>
        </is>
      </c>
      <c r="E143" s="3" t="n">
        <v>43</v>
      </c>
      <c r="F143" s="5" t="inlineStr">
        <is>
          <t>Z1-Z2</t>
        </is>
      </c>
      <c r="G143" s="3" t="n">
        <v>2</v>
      </c>
      <c r="H143" s="6" t="inlineStr">
        <is>
          <t>43' EF Z2 (127-140 bpm)
6x20'' accélérations en fin — allure libre
Très facile, aucune pression chrono</t>
        </is>
      </c>
      <c r="I143" s="3" t="n">
        <v>7</v>
      </c>
      <c r="J143" s="3" t="n"/>
      <c r="K143" s="3" t="n"/>
    </row>
    <row r="144" ht="60" customHeight="1" s="159">
      <c r="A144" s="175" t="n">
        <v>46346</v>
      </c>
      <c r="B144" s="3" t="inlineStr">
        <is>
          <t>Vendredi</t>
        </is>
      </c>
      <c r="C144" s="8" t="inlineStr">
        <is>
          <t>Vélo</t>
        </is>
      </c>
      <c r="D144" s="5" t="inlineStr">
        <is>
          <t>Force spécifique</t>
        </is>
      </c>
      <c r="E144" s="3" t="n">
        <v>109</v>
      </c>
      <c r="F144" s="5" t="inlineStr">
        <is>
          <t>Z2-Z3</t>
        </is>
      </c>
      <c r="G144" s="3" t="n">
        <v>5</v>
      </c>
      <c r="H144" s="6">
        <f>"74'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50g glucides/h si &gt;90'"&amp;CHAR(10)&amp;"10' RC (127-140 bpm / "&amp;IF(FTP&gt;0,TEXT(ROUND(FTP*60/500,0)*5,"0"),"?")&amp;"-"&amp;IF(FTP&gt;0,TEXT(ROUND(FTP*70/500,0)*5,"0"),"?")&amp;" W"&amp;")"</f>
        <v/>
      </c>
      <c r="I144" s="3" t="n"/>
      <c r="J144" s="3" t="n">
        <v>51</v>
      </c>
      <c r="K144" s="3" t="n"/>
    </row>
    <row r="145" ht="84" customHeight="1" s="159">
      <c r="A145" s="175" t="n">
        <v>46347</v>
      </c>
      <c r="B145" s="3" t="inlineStr">
        <is>
          <t>Samedi</t>
        </is>
      </c>
      <c r="C145" s="9" t="inlineStr">
        <is>
          <t>Natation</t>
        </is>
      </c>
      <c r="D145" s="5" t="inlineStr">
        <is>
          <t>Natation technique + bloc IM</t>
        </is>
      </c>
      <c r="E145" s="3" t="n">
        <v>93</v>
      </c>
      <c r="F145" s="5" t="inlineStr">
        <is>
          <t>-</t>
        </is>
      </c>
      <c r="G145" s="3" t="n">
        <v>4</v>
      </c>
      <c r="H145" s="6" t="inlineStr">
        <is>
          <t>Échauffement : 4 x 50 m facile (108-117 bpm) — repos 30 s
Éducatifs : 8 x 50 m (catch-up, finger drag, sighting) — repos 30 s
Bloc continu : 900 m à allure IM, sans arrêt (135-148 bpm, 2:13/100 m) — sighting toutes les 6-8 cycles de bras
Pull buoy : 15 x 100 m (135-148 bpm, 2:10/100 m) — repos 30 s + 50 m à la suite
Retour au calme : 200 m souple (110-126 bpm)
Total : 3250 m</t>
        </is>
      </c>
      <c r="I145" s="3" t="n"/>
      <c r="J145" s="3" t="n"/>
      <c r="K145" s="3" t="n">
        <v>3250</v>
      </c>
    </row>
    <row r="146" ht="36" customHeight="1" s="159">
      <c r="A146" s="175" t="n">
        <v>46347</v>
      </c>
      <c r="B146" s="3" t="inlineStr">
        <is>
          <t>Samedi</t>
        </is>
      </c>
      <c r="C146" s="7" t="inlineStr">
        <is>
          <t>Course</t>
        </is>
      </c>
      <c r="D146" s="5" t="inlineStr">
        <is>
          <t>SORTIE LONGUE Z2 — 92' (15 km)</t>
        </is>
      </c>
      <c r="E146" s="3" t="n">
        <v>92</v>
      </c>
      <c r="F146" s="5" t="inlineStr">
        <is>
          <t>Z2</t>
        </is>
      </c>
      <c r="G146" s="3" t="n">
        <v>6</v>
      </c>
      <c r="H146" s="6" t="inlineStr">
        <is>
          <t>Z2 92' stable (127-140 bpm)
Allure conversationnelle — cadence 170-175 spm
Gel à 45'</t>
        </is>
      </c>
      <c r="I146" s="3" t="n">
        <v>15</v>
      </c>
      <c r="J146" s="3" t="n"/>
      <c r="K146" s="3" t="n"/>
    </row>
    <row r="147" ht="36" customHeight="1" s="159">
      <c r="A147" s="175" t="n">
        <v>46348</v>
      </c>
      <c r="B147" s="3" t="inlineStr">
        <is>
          <t>Dimanche</t>
        </is>
      </c>
      <c r="C147" s="8" t="inlineStr">
        <is>
          <t>Vélo</t>
        </is>
      </c>
      <c r="D147" s="5" t="inlineStr">
        <is>
          <t>Sortie longue — 274' (128.0 km)</t>
        </is>
      </c>
      <c r="E147" s="3" t="n">
        <v>274</v>
      </c>
      <c r="F147" s="5" t="inlineStr">
        <is>
          <t>Z2-Z3</t>
        </is>
      </c>
      <c r="G147" s="3" t="n">
        <v>6</v>
      </c>
      <c r="H147" s="6">
        <f>"274' Z2 (127-140 bpm / "&amp;IF(FTP&gt;0,TEXT(ROUND(FTP*60/500,0)*5,"0"),"?")&amp;"-"&amp;IF(FTP&gt;0,TEXT(ROUND(FTP*70/500,0)*5,"0"),"?")&amp;" W"&amp;")"&amp;CHAR(10)&amp;"Cadence 85-92 rpm"&amp;CHAR(10)&amp;"NUTRITION : 50g glucides/h si &gt;60'"</f>
        <v/>
      </c>
      <c r="I147" s="3" t="n"/>
      <c r="J147" s="3" t="n">
        <v>128</v>
      </c>
      <c r="K147" s="3" t="n"/>
    </row>
    <row r="148" ht="72" customHeight="1" s="159">
      <c r="A148" s="175" t="n">
        <v>46348</v>
      </c>
      <c r="B148" s="3" t="inlineStr">
        <is>
          <t>Dimanche</t>
        </is>
      </c>
      <c r="C148" s="9" t="inlineStr">
        <is>
          <t>Natation</t>
        </is>
      </c>
      <c r="D148" s="5" t="inlineStr">
        <is>
          <t>Natation endurance</t>
        </is>
      </c>
      <c r="E148" s="3" t="n">
        <v>56</v>
      </c>
      <c r="F148" s="5" t="inlineStr">
        <is>
          <t>-</t>
        </is>
      </c>
      <c r="G148" s="3" t="n">
        <v>4</v>
      </c>
      <c r="H148" s="6" t="inlineStr">
        <is>
          <t>Échauffement : 200 m souple (110-126 bpm, 2:27/100 m)
Série principale : 8 x 200 m à allure soutenue (135-148 bpm, 2:10/100 m) — repos 20 s + 50 m à la suite, même allure
Retour au calme : 200 m souple (110-126 bpm)
Consigne : allure constante sur chaque répétition ; sighting toutes les 6-8 cycles de bras
Total : 2050 m</t>
        </is>
      </c>
      <c r="I148" s="3" t="n"/>
      <c r="J148" s="3" t="n"/>
      <c r="K148" s="3" t="n">
        <v>2050</v>
      </c>
    </row>
    <row r="149" ht="15" customHeight="1" s="159">
      <c r="A149" s="10" t="n"/>
      <c r="B149" s="10" t="n"/>
      <c r="C149" s="10" t="n"/>
      <c r="D149" s="10" t="n"/>
      <c r="E149" s="10" t="n"/>
      <c r="F149" s="10" t="n"/>
      <c r="G149" s="10" t="n"/>
      <c r="H149" s="11" t="inlineStr">
        <is>
          <t>TOTAL SEMAINE</t>
        </is>
      </c>
      <c r="I149" s="10">
        <f>SUM(I138:I148)</f>
        <v/>
      </c>
      <c r="J149" s="10">
        <f>SUM(J138:J148)</f>
        <v/>
      </c>
      <c r="K149" s="10">
        <f>SUM(K138:K148)</f>
        <v/>
      </c>
    </row>
    <row r="150" ht="15" customHeight="1" s="159">
      <c r="A150" s="152" t="inlineStr">
        <is>
          <t xml:space="preserve">  S13 — 23/11/2026 → 29/11/2026   |     Phase 2 — Build (Deload)</t>
        </is>
      </c>
    </row>
    <row r="151" ht="15" customHeight="1" s="159">
      <c r="A151" s="175" t="n">
        <v>46349</v>
      </c>
      <c r="B151" s="3" t="inlineStr">
        <is>
          <t>Lundi</t>
        </is>
      </c>
      <c r="C151" s="4" t="inlineStr">
        <is>
          <t>Repos</t>
        </is>
      </c>
      <c r="D151" s="5" t="inlineStr">
        <is>
          <t>OFF</t>
        </is>
      </c>
      <c r="E151" s="3" t="inlineStr">
        <is>
          <t>-</t>
        </is>
      </c>
      <c r="F151" s="5" t="inlineStr">
        <is>
          <t>-</t>
        </is>
      </c>
      <c r="G151" s="3" t="n">
        <v>1</v>
      </c>
      <c r="H151" s="6" t="inlineStr">
        <is>
          <t>Repos complet</t>
        </is>
      </c>
      <c r="I151" s="3" t="n"/>
      <c r="J151" s="3" t="n"/>
      <c r="K151" s="3" t="n"/>
    </row>
    <row r="152" ht="132" customHeight="1" s="159">
      <c r="A152" s="175" t="n">
        <v>46350</v>
      </c>
      <c r="B152" s="3" t="inlineStr">
        <is>
          <t>Mardi</t>
        </is>
      </c>
      <c r="C152" s="7" t="inlineStr">
        <is>
          <t>Course</t>
        </is>
      </c>
      <c r="D152" s="5" t="inlineStr">
        <is>
          <t>Tempo — Progressif 2x8' (80/85%) — décharge</t>
        </is>
      </c>
      <c r="E152" s="3" t="n">
        <v>46</v>
      </c>
      <c r="F152" s="5" t="inlineStr">
        <is>
          <t>Z3-Z4</t>
        </is>
      </c>
      <c r="G152" s="3" t="n">
        <v>6</v>
      </c>
      <c r="H152" s="6" t="inlineStr">
        <is>
          <t>Objectif : progression SV1 → SV2, endurance de seuil
20' EF Z2 (127-140 bpm) + 2-4 lignes droites
8' à 80% FC max (155 bpm)
8' à 85% FC max (165 bpm)
(enchaînés, sans repos)
10' EF Z2 (127-140 bpm)
Décharge : même type de séance que le bloc précédent, volume de qualité réduit</t>
        </is>
      </c>
      <c r="I152" s="3" t="n">
        <v>8</v>
      </c>
      <c r="J152" s="3" t="n"/>
      <c r="K152" s="3" t="n"/>
    </row>
    <row r="153" ht="24" customHeight="1" s="159">
      <c r="A153" s="175" t="n">
        <v>46350</v>
      </c>
      <c r="B153" s="3" t="inlineStr">
        <is>
          <t>Mardi</t>
        </is>
      </c>
      <c r="C153" s="8" t="inlineStr">
        <is>
          <t>Vélo</t>
        </is>
      </c>
      <c r="D153" s="5" t="inlineStr">
        <is>
          <t>Vélo récupération Z1</t>
        </is>
      </c>
      <c r="E153" s="3" t="n">
        <v>32</v>
      </c>
      <c r="F153" s="5" t="inlineStr">
        <is>
          <t>Z2</t>
        </is>
      </c>
      <c r="G153" s="3" t="n">
        <v>2</v>
      </c>
      <c r="H153" s="6">
        <f>"32' Z1 très facile (&lt; 127 bpm / "&amp;IF(FTP&gt;0,TEXT(ROUND(FTP*50/500,0)*5,"0"),"?")&amp;"-"&amp;IF(FTP&gt;0,TEXT(ROUND(FTP*55/500,0)*5,"0"),"?")&amp;" W"&amp;") — récupération active"&amp;CHAR(10)&amp;"Cadence souple 85-90 rpm"</f>
        <v/>
      </c>
      <c r="I153" s="3" t="n"/>
      <c r="J153" s="3" t="n">
        <v>15</v>
      </c>
      <c r="K153" s="3" t="n"/>
    </row>
    <row r="154" ht="60" customHeight="1" s="159">
      <c r="A154" s="175" t="n">
        <v>46351</v>
      </c>
      <c r="B154" s="3" t="inlineStr">
        <is>
          <t>Mercredi</t>
        </is>
      </c>
      <c r="C154" s="8" t="inlineStr">
        <is>
          <t>Vélo</t>
        </is>
      </c>
      <c r="D154" s="5" t="inlineStr">
        <is>
          <t>Vélo clé — 2x18' @ 88% FTP — r=5'</t>
        </is>
      </c>
      <c r="E154" s="3" t="n">
        <v>81</v>
      </c>
      <c r="F154" s="5" t="inlineStr">
        <is>
          <t>Z3</t>
        </is>
      </c>
      <c r="G154" s="3" t="n">
        <v>5</v>
      </c>
      <c r="H154" s="6">
        <f>"30' EF Z2 (127-140 bpm / "&amp;IF(FTP&gt;0,TEXT(ROUND(FTP*60/500,0)*5,"0"),"?")&amp;"-"&amp;IF(FTP&gt;0,TEXT(ROUND(FTP*70/500,0)*5,"0"),"?")&amp;" W"&amp;") | 2x18' @ 88% FTP ("&amp;IF(FTP&gt;0,TEXT(ROUND(FTP*88/500,0)*5,"0"),"?")&amp;" W"&amp;") — r=5'"&amp;CHAR(10)&amp;"Objectif : développer la puissance au seuil (FTP)"&amp;CHAR(10)&amp;"FC bloc cible : ~159 bpm (82% FC max) | Cadence : 87-93 rpm | RPE 7-8/10"&amp;CHAR(10)&amp;"NUTRITION : 60g glucides/h si &gt;90'"&amp;CHAR(10)&amp;"10' RC (127-140 bpm / "&amp;IF(FTP&gt;0,TEXT(ROUND(FTP*60/500,0)*5,"0"),"?")&amp;"-"&amp;IF(FTP&gt;0,TEXT(ROUND(FTP*70/500,0)*5,"0"),"?")&amp;" W"&amp;")"</f>
        <v/>
      </c>
      <c r="I154" s="3" t="n"/>
      <c r="J154" s="3" t="n">
        <v>38</v>
      </c>
      <c r="K154" s="3" t="n"/>
    </row>
    <row r="155" ht="84" customHeight="1" s="159">
      <c r="A155" s="175" t="n">
        <v>46352</v>
      </c>
      <c r="B155" s="3" t="inlineStr">
        <is>
          <t>Jeudi</t>
        </is>
      </c>
      <c r="C155" s="9" t="inlineStr">
        <is>
          <t>Natation</t>
        </is>
      </c>
      <c r="D155" s="5" t="inlineStr">
        <is>
          <t>Natation technique + bloc IM</t>
        </is>
      </c>
      <c r="E155" s="3" t="n">
        <v>68</v>
      </c>
      <c r="F155" s="5" t="inlineStr">
        <is>
          <t>-</t>
        </is>
      </c>
      <c r="G155" s="3" t="n">
        <v>4</v>
      </c>
      <c r="H155" s="6" t="inlineStr">
        <is>
          <t>Échauffement : 4 x 50 m facile (108-117 bpm) — repos 30 s
Éducatifs : 8 x 50 m (catch-up, finger drag, sighting) — repos 30 s
Bloc continu : 500 m à allure IM, sans arrêt (135-148 bpm, 2:13/100 m) — sighting toutes les 6-8 cycles de bras
Pull buoy : 8 x 100 m (135-148 bpm, 2:10/100 m) — repos 30 s + 50 m à la suite
Retour au calme : 200 m souple (110-126 bpm)
Total : 2150 m</t>
        </is>
      </c>
      <c r="I155" s="3" t="n"/>
      <c r="J155" s="3" t="n"/>
      <c r="K155" s="3" t="n">
        <v>2150</v>
      </c>
    </row>
    <row r="156" ht="24" customHeight="1" s="159">
      <c r="A156" s="175" t="n">
        <v>46352</v>
      </c>
      <c r="B156" s="3" t="inlineStr">
        <is>
          <t>Jeudi</t>
        </is>
      </c>
      <c r="C156" s="7" t="inlineStr">
        <is>
          <t>Course</t>
        </is>
      </c>
      <c r="D156" s="5" t="inlineStr">
        <is>
          <t>EF + strides</t>
        </is>
      </c>
      <c r="E156" s="3" t="n">
        <v>31</v>
      </c>
      <c r="F156" s="5" t="inlineStr">
        <is>
          <t>Z1-Z2</t>
        </is>
      </c>
      <c r="G156" s="3" t="n">
        <v>2</v>
      </c>
      <c r="H156" s="6" t="inlineStr">
        <is>
          <t>31' EF Z2 (127-140 bpm) | 4x20'' strides
Jamais &gt; Z2</t>
        </is>
      </c>
      <c r="I156" s="3" t="n">
        <v>5</v>
      </c>
      <c r="J156" s="3" t="n"/>
      <c r="K156" s="3" t="n"/>
    </row>
    <row r="157" ht="48" customHeight="1" s="159">
      <c r="A157" s="175" t="n">
        <v>46353</v>
      </c>
      <c r="B157" s="3" t="inlineStr">
        <is>
          <t>Vendredi</t>
        </is>
      </c>
      <c r="C157" s="8" t="inlineStr">
        <is>
          <t>Vélo</t>
        </is>
      </c>
      <c r="D157" s="5" t="inlineStr">
        <is>
          <t>Force légère</t>
        </is>
      </c>
      <c r="E157" s="3" t="n">
        <v>73</v>
      </c>
      <c r="F157" s="5" t="inlineStr">
        <is>
          <t>Z2-Z3</t>
        </is>
      </c>
      <c r="G157" s="3" t="n">
        <v>3</v>
      </c>
      <c r="H157" s="6">
        <f>"42' EF (127-140 bpm / "&amp;IF(FTP&gt;0,TEXT(ROUND(FTP*60/500,0)*5,"0"),"?")&amp;"-"&amp;IF(FTP&gt;0,TEXT(ROUND(FTP*70/500,0)*5,"0"),"?")&amp;" W"&amp;") | 4x3'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157" s="3" t="n"/>
      <c r="J157" s="3" t="n">
        <v>34</v>
      </c>
      <c r="K157" s="3" t="n"/>
    </row>
    <row r="158" ht="72" customHeight="1" s="159">
      <c r="A158" s="175" t="n">
        <v>46354</v>
      </c>
      <c r="B158" s="3" t="inlineStr">
        <is>
          <t>Samedi</t>
        </is>
      </c>
      <c r="C158" s="9" t="inlineStr">
        <is>
          <t>Natation</t>
        </is>
      </c>
      <c r="D158" s="5" t="inlineStr">
        <is>
          <t>Natation endurance</t>
        </is>
      </c>
      <c r="E158" s="3" t="n">
        <v>78</v>
      </c>
      <c r="F158" s="5" t="inlineStr">
        <is>
          <t>-</t>
        </is>
      </c>
      <c r="G158" s="3" t="n">
        <v>4</v>
      </c>
      <c r="H158" s="6" t="inlineStr">
        <is>
          <t>Échauffement : 200 m souple (110-126 bpm, 2:27/100 m)
Série principale : 8 x 300 m à allure soutenue (135-148 bpm, 2:10/100 m) — repos 20 s + 50 m à la suite, même allure
Retour au calme : 200 m souple (110-126 bpm)
Consigne : allure constante sur chaque répétition ; sighting toutes les 6-8 cycles de bras
Total : 2850 m</t>
        </is>
      </c>
      <c r="I158" s="3" t="n"/>
      <c r="J158" s="3" t="n"/>
      <c r="K158" s="3" t="n">
        <v>2850</v>
      </c>
    </row>
    <row r="159" ht="24" customHeight="1" s="159">
      <c r="A159" s="175" t="n">
        <v>46354</v>
      </c>
      <c r="B159" s="3" t="inlineStr">
        <is>
          <t>Samedi</t>
        </is>
      </c>
      <c r="C159" s="7" t="inlineStr">
        <is>
          <t>Course</t>
        </is>
      </c>
      <c r="D159" s="5" t="inlineStr">
        <is>
          <t>SORTIE LONGUE Z2 — 62' (10 km)</t>
        </is>
      </c>
      <c r="E159" s="3" t="n">
        <v>62</v>
      </c>
      <c r="F159" s="5" t="inlineStr">
        <is>
          <t>Z2</t>
        </is>
      </c>
      <c r="G159" s="3" t="n">
        <v>5</v>
      </c>
      <c r="H159" s="6" t="inlineStr">
        <is>
          <t>Z2 62' — allure conversationnelle
FC : 127-140 bpm</t>
        </is>
      </c>
      <c r="I159" s="3" t="n">
        <v>10</v>
      </c>
      <c r="J159" s="3" t="n"/>
      <c r="K159" s="3" t="n"/>
    </row>
    <row r="160" ht="48" customHeight="1" s="159">
      <c r="A160" s="175" t="n">
        <v>46355</v>
      </c>
      <c r="B160" s="3" t="inlineStr">
        <is>
          <t>Dimanche</t>
        </is>
      </c>
      <c r="C160" s="8" t="inlineStr">
        <is>
          <t>Vélo</t>
        </is>
      </c>
      <c r="D160" s="5" t="inlineStr">
        <is>
          <t>Sortie longue — 182' (85.0 km)</t>
        </is>
      </c>
      <c r="E160" s="3" t="n">
        <v>182</v>
      </c>
      <c r="F160" s="5" t="inlineStr">
        <is>
          <t>Z2-Z3</t>
        </is>
      </c>
      <c r="G160" s="3" t="n">
        <v>4</v>
      </c>
      <c r="H160" s="6">
        <f>"182' Z2 (127-140 bpm / "&amp;IF(FTP&gt;0,TEXT(ROUND(FTP*60/500,0)*5,"0"),"?")&amp;"-"&amp;IF(FTP&gt;0,TEXT(ROUND(FTP*70/500,0)*5,"0"),"?")&amp;" W"&amp;")"&amp;CHAR(10)&amp;"Cadence 85-92 rpm"&amp;CHAR(10)&amp;"Semaine deload — volume réduit"&amp;CHAR(10)&amp;"NUTRITION : 60g glucides/h si &gt;60'"</f>
        <v/>
      </c>
      <c r="I160" s="3" t="n"/>
      <c r="J160" s="3" t="n">
        <v>85</v>
      </c>
      <c r="K160" s="3" t="n"/>
    </row>
    <row r="161" ht="15" customHeight="1" s="159">
      <c r="A161" s="10" t="n"/>
      <c r="B161" s="10" t="n"/>
      <c r="C161" s="10" t="n"/>
      <c r="D161" s="10" t="n"/>
      <c r="E161" s="10" t="n"/>
      <c r="F161" s="10" t="n"/>
      <c r="G161" s="10" t="n"/>
      <c r="H161" s="11" t="inlineStr">
        <is>
          <t>TOTAL SEMAINE</t>
        </is>
      </c>
      <c r="I161" s="10">
        <f>SUM(I151:I160)</f>
        <v/>
      </c>
      <c r="J161" s="10">
        <f>SUM(J151:J160)</f>
        <v/>
      </c>
      <c r="K161" s="10">
        <f>SUM(K151:K160)</f>
        <v/>
      </c>
    </row>
    <row r="162" ht="15" customHeight="1" s="159">
      <c r="A162" s="146" t="inlineStr">
        <is>
          <t xml:space="preserve">  S14 — 30/11/2026 → 06/12/2026   |     Phase 2 — Build</t>
        </is>
      </c>
    </row>
    <row r="163" ht="15" customHeight="1" s="159">
      <c r="A163" s="175" t="n">
        <v>46356</v>
      </c>
      <c r="B163" s="3" t="inlineStr">
        <is>
          <t>Lundi</t>
        </is>
      </c>
      <c r="C163" s="4" t="inlineStr">
        <is>
          <t>Repos</t>
        </is>
      </c>
      <c r="D163" s="5" t="inlineStr">
        <is>
          <t>OFF</t>
        </is>
      </c>
      <c r="E163" s="3" t="inlineStr">
        <is>
          <t>-</t>
        </is>
      </c>
      <c r="F163" s="5" t="inlineStr">
        <is>
          <t>-</t>
        </is>
      </c>
      <c r="G163" s="3" t="n">
        <v>1</v>
      </c>
      <c r="H163" s="6" t="inlineStr">
        <is>
          <t>Repos complet</t>
        </is>
      </c>
      <c r="I163" s="3" t="n"/>
      <c r="J163" s="3" t="n"/>
      <c r="K163" s="3" t="n"/>
    </row>
    <row r="164" ht="120" customHeight="1" s="159">
      <c r="A164" s="175" t="n">
        <v>46357</v>
      </c>
      <c r="B164" s="3" t="inlineStr">
        <is>
          <t>Mardi</t>
        </is>
      </c>
      <c r="C164" s="7" t="inlineStr">
        <is>
          <t>Course</t>
        </is>
      </c>
      <c r="D164" s="5" t="inlineStr">
        <is>
          <t>Qualité — 12' prog + 400m/300m x4</t>
        </is>
      </c>
      <c r="E164" s="3" t="n">
        <v>52</v>
      </c>
      <c r="F164" s="5" t="inlineStr">
        <is>
          <t>Z3-Z4</t>
        </is>
      </c>
      <c r="G164" s="3" t="n">
        <v>7</v>
      </c>
      <c r="H164" s="6" t="inlineStr">
        <is>
          <t>Objectif : VO2max et vitesse de pointe après montée progressive
6' EF Z2 (127-140 bpm)
12' progressif : EF vers allure IM (150-155 bpm)
3' de repos
4 x 400m à 87% (169 bpm) — 1' de repos
4 x 300m à 92% (178 bpm) — 1' de repos
10' EF Z2 (127-140 bpm)</t>
        </is>
      </c>
      <c r="I164" s="3" t="n">
        <v>8.5</v>
      </c>
      <c r="J164" s="3" t="n"/>
      <c r="K164" s="3" t="n"/>
    </row>
    <row r="165" ht="24" customHeight="1" s="159">
      <c r="A165" s="175" t="n">
        <v>46357</v>
      </c>
      <c r="B165" s="3" t="inlineStr">
        <is>
          <t>Mardi</t>
        </is>
      </c>
      <c r="C165" s="8" t="inlineStr">
        <is>
          <t>Vélo</t>
        </is>
      </c>
      <c r="D165" s="5" t="inlineStr">
        <is>
          <t>Vélo récupération Z1</t>
        </is>
      </c>
      <c r="E165" s="3" t="n">
        <v>47</v>
      </c>
      <c r="F165" s="5" t="inlineStr">
        <is>
          <t>Z2</t>
        </is>
      </c>
      <c r="G165" s="3" t="n">
        <v>2</v>
      </c>
      <c r="H165" s="6">
        <f>"47' Z1 très facile (&lt; 127 bpm / "&amp;IF(FTP&gt;0,TEXT(ROUND(FTP*50/500,0)*5,"0"),"?")&amp;"-"&amp;IF(FTP&gt;0,TEXT(ROUND(FTP*55/500,0)*5,"0"),"?")&amp;" W"&amp;") — récupération active"&amp;CHAR(10)&amp;"Cadence souple 85-90 rpm"</f>
        <v/>
      </c>
      <c r="I165" s="3" t="n"/>
      <c r="J165" s="3" t="n">
        <v>22</v>
      </c>
      <c r="K165" s="3" t="n"/>
    </row>
    <row r="166" ht="60" customHeight="1" s="159">
      <c r="A166" s="175" t="n">
        <v>46358</v>
      </c>
      <c r="B166" s="3" t="inlineStr">
        <is>
          <t>Mercredi</t>
        </is>
      </c>
      <c r="C166" s="8" t="inlineStr">
        <is>
          <t>Vélo</t>
        </is>
      </c>
      <c r="D166" s="5" t="inlineStr">
        <is>
          <t>Vélo clé — 2x25' @ 90% FTP — r=5'</t>
        </is>
      </c>
      <c r="E166" s="3" t="n">
        <v>126</v>
      </c>
      <c r="F166" s="5" t="inlineStr">
        <is>
          <t>Z3</t>
        </is>
      </c>
      <c r="G166" s="3" t="n">
        <v>6</v>
      </c>
      <c r="H166" s="6">
        <f>"61' EF Z2 (127-140 bpm / "&amp;IF(FTP&gt;0,TEXT(ROUND(FTP*60/500,0)*5,"0"),"?")&amp;"-"&amp;IF(FTP&gt;0,TEXT(ROUND(FTP*70/500,0)*5,"0"),"?")&amp;" W"&amp;") | 2x25' @ 90% FTP ("&amp;IF(FTP&gt;0,TEXT(ROUND(FTP*90/500,0)*5,"0"),"?")&amp;" W"&amp;") — r=5'"&amp;CHAR(10)&amp;"Objectif : travailler juste sous le seuil lactique (sweet spot)"&amp;CHAR(10)&amp;"FC bloc cible : ~163 bpm (84% FC max = ton seuil lactique) | Cadence : 87-93 rpm | RPE 6-7/10"&amp;CHAR(10)&amp;"NUTRITION : 60g glucides/h si &gt;90'"&amp;CHAR(10)&amp;"10' RC (127-140 bpm / "&amp;IF(FTP&gt;0,TEXT(ROUND(FTP*60/500,0)*5,"0"),"?")&amp;"-"&amp;IF(FTP&gt;0,TEXT(ROUND(FTP*70/500,0)*5,"0"),"?")&amp;" W"&amp;")"</f>
        <v/>
      </c>
      <c r="I166" s="3" t="n"/>
      <c r="J166" s="3" t="n">
        <v>59</v>
      </c>
      <c r="K166" s="3" t="n"/>
    </row>
    <row r="167" ht="96" customHeight="1" s="159">
      <c r="A167" s="175" t="n">
        <v>46359</v>
      </c>
      <c r="B167" s="3" t="inlineStr">
        <is>
          <t>Jeudi</t>
        </is>
      </c>
      <c r="C167" s="9" t="inlineStr">
        <is>
          <t>Natation</t>
        </is>
      </c>
      <c r="D167" s="5" t="inlineStr">
        <is>
          <t>Natation seuil + soutenu</t>
        </is>
      </c>
      <c r="E167" s="3" t="n">
        <v>63</v>
      </c>
      <c r="F167" s="5" t="inlineStr">
        <is>
          <t>-</t>
        </is>
      </c>
      <c r="G167" s="3" t="n">
        <v>6</v>
      </c>
      <c r="H167" s="6" t="inlineStr">
        <is>
          <t>Échauffement : 200 m souple (110-126 bpm, 2:27/100 m)
Série seuil : 10 x 100 m à l'allure CSS (150-160 bpm, 2:07/100 m) — repos 15 s
Série soutenue : 4 x 200 m à allure soutenue (135-148 bpm, 2:10/100 m) — repos 20 s + 150 m à la suite, même allure
Retour au calme : 200 m souple (110-126 bpm)
Consigne : seuil = effort dur mais régulier, même chrono sur chaque 100 m ; sighting toutes les 6-8 cycles de bras
Total : 2350 m</t>
        </is>
      </c>
      <c r="I167" s="3" t="n"/>
      <c r="J167" s="3" t="n"/>
      <c r="K167" s="3" t="n">
        <v>2350</v>
      </c>
    </row>
    <row r="168" ht="36" customHeight="1" s="159">
      <c r="A168" s="175" t="n">
        <v>46359</v>
      </c>
      <c r="B168" s="3" t="inlineStr">
        <is>
          <t>Jeudi</t>
        </is>
      </c>
      <c r="C168" s="7" t="inlineStr">
        <is>
          <t>Course</t>
        </is>
      </c>
      <c r="D168" s="5" t="inlineStr">
        <is>
          <t>EF Z2 + accélérations</t>
        </is>
      </c>
      <c r="E168" s="3" t="n">
        <v>46</v>
      </c>
      <c r="F168" s="5" t="inlineStr">
        <is>
          <t>Z1-Z2</t>
        </is>
      </c>
      <c r="G168" s="3" t="n">
        <v>2</v>
      </c>
      <c r="H168" s="6" t="inlineStr">
        <is>
          <t>46' EF Z2 (127-140 bpm)
6x20'' accélérations en fin — allure libre
Très facile, aucune pression chrono</t>
        </is>
      </c>
      <c r="I168" s="3" t="n">
        <v>7.5</v>
      </c>
      <c r="J168" s="3" t="n"/>
      <c r="K168" s="3" t="n"/>
    </row>
    <row r="169" ht="24" customHeight="1" s="159">
      <c r="A169" s="175" t="n">
        <v>46360</v>
      </c>
      <c r="B169" s="3" t="inlineStr">
        <is>
          <t>Vendredi</t>
        </is>
      </c>
      <c r="C169" s="7" t="inlineStr">
        <is>
          <t>Course</t>
        </is>
      </c>
      <c r="D169" s="5" t="inlineStr">
        <is>
          <t>EF Z2 — court</t>
        </is>
      </c>
      <c r="E169" s="3" t="n">
        <v>27</v>
      </c>
      <c r="F169" s="5" t="inlineStr">
        <is>
          <t>Z1-Z2</t>
        </is>
      </c>
      <c r="G169" s="3" t="n">
        <v>2</v>
      </c>
      <c r="H169" s="6" t="inlineStr">
        <is>
          <t>27' EF Z1-Z2 (120-135 bpm) — COURT
Vraie récup — pas de strides</t>
        </is>
      </c>
      <c r="I169" s="3" t="n">
        <v>4</v>
      </c>
      <c r="J169" s="3" t="n"/>
      <c r="K169" s="3" t="n"/>
    </row>
    <row r="170" ht="60" customHeight="1" s="159">
      <c r="A170" s="175" t="n">
        <v>46360</v>
      </c>
      <c r="B170" s="3" t="inlineStr">
        <is>
          <t>Vendredi</t>
        </is>
      </c>
      <c r="C170" s="8" t="inlineStr">
        <is>
          <t>Vélo</t>
        </is>
      </c>
      <c r="D170" s="5" t="inlineStr">
        <is>
          <t>Force spécifique</t>
        </is>
      </c>
      <c r="E170" s="3" t="n">
        <v>109</v>
      </c>
      <c r="F170" s="5" t="inlineStr">
        <is>
          <t>Z2-Z3</t>
        </is>
      </c>
      <c r="G170" s="3" t="n">
        <v>5</v>
      </c>
      <c r="H170" s="6">
        <f>"74'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60g glucides/h si &gt;90'"&amp;CHAR(10)&amp;"10' RC (127-140 bpm / "&amp;IF(FTP&gt;0,TEXT(ROUND(FTP*60/500,0)*5,"0"),"?")&amp;"-"&amp;IF(FTP&gt;0,TEXT(ROUND(FTP*70/500,0)*5,"0"),"?")&amp;" W"&amp;")"</f>
        <v/>
      </c>
      <c r="I170" s="3" t="n"/>
      <c r="J170" s="3" t="n">
        <v>51</v>
      </c>
      <c r="K170" s="3" t="n"/>
    </row>
    <row r="171" ht="84" customHeight="1" s="159">
      <c r="A171" s="175" t="n">
        <v>46361</v>
      </c>
      <c r="B171" s="3" t="inlineStr">
        <is>
          <t>Samedi</t>
        </is>
      </c>
      <c r="C171" s="9" t="inlineStr">
        <is>
          <t>Natation</t>
        </is>
      </c>
      <c r="D171" s="5" t="inlineStr">
        <is>
          <t>Natation technique + bloc IM</t>
        </is>
      </c>
      <c r="E171" s="3" t="n">
        <v>96</v>
      </c>
      <c r="F171" s="5" t="inlineStr">
        <is>
          <t>-</t>
        </is>
      </c>
      <c r="G171" s="3" t="n">
        <v>5</v>
      </c>
      <c r="H171" s="6" t="inlineStr">
        <is>
          <t>Échauffement : 4 x 50 m facile (108-117 bpm) — repos 30 s
Éducatifs : 8 x 50 m (catch-up, finger drag, sighting) — repos 30 s
Bloc continu : 1000 m à allure IM, sans arrêt (135-148 bpm, 2:13/100 m) — sighting toutes les 6-8 cycles de bras
Pull buoy : 15 x 100 m (135-148 bpm, 2:10/100 m) — repos 30 s + 50 m à la suite
Retour au calme : 200 m souple (110-126 bpm)
Total : 3350 m</t>
        </is>
      </c>
      <c r="I171" s="3" t="n"/>
      <c r="J171" s="3" t="n"/>
      <c r="K171" s="3" t="n">
        <v>3350</v>
      </c>
    </row>
    <row r="172" ht="36" customHeight="1" s="159">
      <c r="A172" s="175" t="n">
        <v>46361</v>
      </c>
      <c r="B172" s="3" t="inlineStr">
        <is>
          <t>Samedi</t>
        </is>
      </c>
      <c r="C172" s="7" t="inlineStr">
        <is>
          <t>Course</t>
        </is>
      </c>
      <c r="D172" s="5" t="inlineStr">
        <is>
          <t>SORTIE LONGUE Z2 — 99' (16 km)</t>
        </is>
      </c>
      <c r="E172" s="3" t="n">
        <v>99</v>
      </c>
      <c r="F172" s="5" t="inlineStr">
        <is>
          <t>Z2</t>
        </is>
      </c>
      <c r="G172" s="3" t="n">
        <v>6</v>
      </c>
      <c r="H172" s="6" t="inlineStr">
        <is>
          <t>Z2 99' stable (127-140 bpm)
Allure conversationnelle — cadence 170-175 spm
Gel à 45'</t>
        </is>
      </c>
      <c r="I172" s="3" t="n">
        <v>16</v>
      </c>
      <c r="J172" s="3" t="n"/>
      <c r="K172" s="3" t="n"/>
    </row>
    <row r="173" ht="36" customHeight="1" s="159">
      <c r="A173" s="175" t="n">
        <v>46362</v>
      </c>
      <c r="B173" s="3" t="inlineStr">
        <is>
          <t>Dimanche</t>
        </is>
      </c>
      <c r="C173" s="8" t="inlineStr">
        <is>
          <t>Vélo</t>
        </is>
      </c>
      <c r="D173" s="5" t="inlineStr">
        <is>
          <t>Sortie longue — 279' (130.0 km)</t>
        </is>
      </c>
      <c r="E173" s="3" t="n">
        <v>279</v>
      </c>
      <c r="F173" s="5" t="inlineStr">
        <is>
          <t>Z2-Z3</t>
        </is>
      </c>
      <c r="G173" s="3" t="n">
        <v>6</v>
      </c>
      <c r="H173" s="6">
        <f>"279' Z2 (127-140 bpm / "&amp;IF(FTP&gt;0,TEXT(ROUND(FTP*60/500,0)*5,"0"),"?")&amp;"-"&amp;IF(FTP&gt;0,TEXT(ROUND(FTP*70/500,0)*5,"0"),"?")&amp;" W"&amp;")"&amp;CHAR(10)&amp;"Cadence 85-92 rpm"&amp;CHAR(10)&amp;"NUTRITION : 60g glucides/h si &gt;60'"</f>
        <v/>
      </c>
      <c r="I173" s="3" t="n"/>
      <c r="J173" s="3" t="n">
        <v>130</v>
      </c>
      <c r="K173" s="3" t="n"/>
    </row>
    <row r="174" ht="72" customHeight="1" s="159">
      <c r="A174" s="175" t="n">
        <v>46362</v>
      </c>
      <c r="B174" s="3" t="inlineStr">
        <is>
          <t>Dimanche</t>
        </is>
      </c>
      <c r="C174" s="9" t="inlineStr">
        <is>
          <t>Natation</t>
        </is>
      </c>
      <c r="D174" s="5" t="inlineStr">
        <is>
          <t>Natation endurance</t>
        </is>
      </c>
      <c r="E174" s="3" t="n">
        <v>57</v>
      </c>
      <c r="F174" s="5" t="inlineStr">
        <is>
          <t>-</t>
        </is>
      </c>
      <c r="G174" s="3" t="n">
        <v>4</v>
      </c>
      <c r="H174" s="6" t="inlineStr">
        <is>
          <t>Échauffement : 200 m souple (110-126 bpm, 2:27/100 m)
Série principale : 8 x 200 m à allure soutenue (135-148 bpm, 2:10/100 m) — repos 20 s + 100 m à la suite, même allure
Retour au calme : 200 m souple (110-126 bpm)
Consigne : allure constante sur chaque répétition ; sighting toutes les 6-8 cycles de bras
Total : 2100 m</t>
        </is>
      </c>
      <c r="I174" s="3" t="n"/>
      <c r="J174" s="3" t="n"/>
      <c r="K174" s="3" t="n">
        <v>2100</v>
      </c>
    </row>
    <row r="175" ht="15" customHeight="1" s="159">
      <c r="A175" s="10" t="n"/>
      <c r="B175" s="10" t="n"/>
      <c r="C175" s="10" t="n"/>
      <c r="D175" s="10" t="n"/>
      <c r="E175" s="10" t="n"/>
      <c r="F175" s="10" t="n"/>
      <c r="G175" s="10" t="n"/>
      <c r="H175" s="11" t="inlineStr">
        <is>
          <t>TOTAL SEMAINE</t>
        </is>
      </c>
      <c r="I175" s="10">
        <f>SUM(I163:I174)</f>
        <v/>
      </c>
      <c r="J175" s="10">
        <f>SUM(J163:J174)</f>
        <v/>
      </c>
      <c r="K175" s="10">
        <f>SUM(K163:K174)</f>
        <v/>
      </c>
    </row>
    <row r="176" ht="15" customHeight="1" s="159">
      <c r="A176" s="154" t="inlineStr">
        <is>
          <t xml:space="preserve">  S15 — 07/12/2026 → 13/12/2026   |     Phase 2 — Build</t>
        </is>
      </c>
    </row>
    <row r="177" ht="15" customHeight="1" s="159">
      <c r="A177" s="175" t="n">
        <v>46363</v>
      </c>
      <c r="B177" s="3" t="inlineStr">
        <is>
          <t>Lundi</t>
        </is>
      </c>
      <c r="C177" s="4" t="inlineStr">
        <is>
          <t>Repos</t>
        </is>
      </c>
      <c r="D177" s="5" t="inlineStr">
        <is>
          <t>OFF</t>
        </is>
      </c>
      <c r="E177" s="3" t="inlineStr">
        <is>
          <t>-</t>
        </is>
      </c>
      <c r="F177" s="5" t="inlineStr">
        <is>
          <t>-</t>
        </is>
      </c>
      <c r="G177" s="3" t="n">
        <v>1</v>
      </c>
      <c r="H177" s="6" t="inlineStr">
        <is>
          <t>Repos complet</t>
        </is>
      </c>
      <c r="I177" s="3" t="n"/>
      <c r="J177" s="3" t="n"/>
      <c r="K177" s="3" t="n"/>
    </row>
    <row r="178" ht="192" customHeight="1" s="159">
      <c r="A178" s="175" t="n">
        <v>46364</v>
      </c>
      <c r="B178" s="3" t="inlineStr">
        <is>
          <t>Mardi</t>
        </is>
      </c>
      <c r="C178" s="7" t="inlineStr">
        <is>
          <t>Course</t>
        </is>
      </c>
      <c r="D178" s="5" t="inlineStr">
        <is>
          <t>Qualité — Pyramide 400-300-200-100m x3</t>
        </is>
      </c>
      <c r="E178" s="3" t="n">
        <v>54</v>
      </c>
      <c r="F178" s="5" t="inlineStr">
        <is>
          <t>Z3-Z4</t>
        </is>
      </c>
      <c r="G178" s="3" t="n">
        <v>7</v>
      </c>
      <c r="H178" s="6" t="inlineStr">
        <is>
          <t>Objectif : vélocité et économie de course (fractions courtes)
12' EF Z2 (127-140 bpm)
400m à 80% (155 bpm)
400m à 87% (169 bpm)
300m à 80% (155 bpm)
300m à 90% (175 bpm)
200m à 80% (155 bpm)
200m à 92% (178 bpm)
100m à 80% (155 bpm)
100m à 95% (184 bpm)
x3 avec 3' de repos entre séries
8' EF Z2 (127-140 bpm)</t>
        </is>
      </c>
      <c r="I178" s="3" t="n">
        <v>9.5</v>
      </c>
      <c r="J178" s="3" t="n"/>
      <c r="K178" s="3" t="n"/>
    </row>
    <row r="179" ht="24" customHeight="1" s="159">
      <c r="A179" s="175" t="n">
        <v>46364</v>
      </c>
      <c r="B179" s="3" t="inlineStr">
        <is>
          <t>Mardi</t>
        </is>
      </c>
      <c r="C179" s="8" t="inlineStr">
        <is>
          <t>Vélo</t>
        </is>
      </c>
      <c r="D179" s="5" t="inlineStr">
        <is>
          <t>Vélo récupération Z1</t>
        </is>
      </c>
      <c r="E179" s="3" t="n">
        <v>47</v>
      </c>
      <c r="F179" s="5" t="inlineStr">
        <is>
          <t>Z2</t>
        </is>
      </c>
      <c r="G179" s="3" t="n">
        <v>2</v>
      </c>
      <c r="H179" s="6">
        <f>"47' Z1 très facile (&lt; 127 bpm / "&amp;IF(FTP&gt;0,TEXT(ROUND(FTP*50/500,0)*5,"0"),"?")&amp;"-"&amp;IF(FTP&gt;0,TEXT(ROUND(FTP*55/500,0)*5,"0"),"?")&amp;" W"&amp;") — récupération active"&amp;CHAR(10)&amp;"Cadence souple 85-90 rpm"</f>
        <v/>
      </c>
      <c r="I179" s="3" t="n"/>
      <c r="J179" s="3" t="n">
        <v>22</v>
      </c>
      <c r="K179" s="3" t="n"/>
    </row>
    <row r="180" ht="72" customHeight="1" s="159">
      <c r="A180" s="175" t="n">
        <v>46365</v>
      </c>
      <c r="B180" s="3" t="inlineStr">
        <is>
          <t>Mercredi</t>
        </is>
      </c>
      <c r="C180" s="8" t="inlineStr">
        <is>
          <t>Vélo</t>
        </is>
      </c>
      <c r="D180" s="5" t="inlineStr">
        <is>
          <t>Vélo clé — VO2 5x4' @ 112% FTP — r=4'</t>
        </is>
      </c>
      <c r="E180" s="3" t="n">
        <v>137</v>
      </c>
      <c r="F180" s="5" t="inlineStr">
        <is>
          <t>Z5</t>
        </is>
      </c>
      <c r="G180" s="3" t="n">
        <v>8</v>
      </c>
      <c r="H180" s="6">
        <f>"40' EF Z2 (127-140 bpm / "&amp;IF(FTP&gt;0,TEXT(ROUND(FTP*60/500,0)*5,"0"),"?")&amp;"-"&amp;IF(FTP&gt;0,TEXT(ROUND(FTP*70/500,0)*5,"0"),"?")&amp;" W"&amp;") dont 3 ouvertures de 30'' à 90% FC max ("&amp;IF(FTP&gt;0,TEXT(ROUND(FTP*120/500,0)*5,"0"),"?")&amp;" W"&amp;") | 5x4' @ 112% FTP ("&amp;IF(FTP&gt;0,TEXT(ROUND(FTP*112/500,0)*5,"0"),"?")&amp;" W"&amp;" — 186 bpm en fin de répétition) — r=4' Z1 | 51' EF Z2 (127-140 bpm / "&amp;IF(FTP&gt;0,TEXT(ROUND(FTP*60/500,0)*5,"0"),"?")&amp;"-"&amp;IF(FTP&gt;0,TEXT(ROUND(FTP*70/500,0)*5,"0"),"?")&amp;" W"&amp;")"&amp;CHAR(10)&amp;"Objectif : puissance aérobie maximale (VO2max), intervalles courts"&amp;CHAR(10)&amp;"FC fin de répétition : 184-194 bpm (95-100% FC max) | Cadence : 90-100 rpm | RPE 8-9/10"&amp;CHAR(10)&amp;"NUTRITION : 60g glucides/h si &gt;90'"&amp;CHAR(10)&amp;"10' RC (127-140 bpm / "&amp;IF(FTP&gt;0,TEXT(ROUND(FTP*60/500,0)*5,"0"),"?")&amp;"-"&amp;IF(FTP&gt;0,TEXT(ROUND(FTP*70/500,0)*5,"0"),"?")&amp;" W"&amp;")"</f>
        <v/>
      </c>
      <c r="I180" s="3" t="n"/>
      <c r="J180" s="3" t="n">
        <v>64</v>
      </c>
      <c r="K180" s="3" t="n"/>
    </row>
    <row r="181" ht="72" customHeight="1" s="159">
      <c r="A181" s="175" t="n">
        <v>46366</v>
      </c>
      <c r="B181" s="3" t="inlineStr">
        <is>
          <t>Jeudi</t>
        </is>
      </c>
      <c r="C181" s="9" t="inlineStr">
        <is>
          <t>Natation</t>
        </is>
      </c>
      <c r="D181" s="5" t="inlineStr">
        <is>
          <t>Natation endurance</t>
        </is>
      </c>
      <c r="E181" s="3" t="n">
        <v>63</v>
      </c>
      <c r="F181" s="5" t="inlineStr">
        <is>
          <t>-</t>
        </is>
      </c>
      <c r="G181" s="3" t="n">
        <v>4</v>
      </c>
      <c r="H181" s="6" t="inlineStr">
        <is>
          <t>Échauffement : 200 m souple (110-126 bpm, 2:27/100 m)
Série principale : 6 x 300 m à allure soutenue (135-148 bpm, 2:10/100 m) — repos 20 s + 200 m à la suite, même allure
Retour au calme : 200 m souple (110-126 bpm)
Consigne : allure constante sur chaque répétition ; sighting toutes les 6-8 cycles de bras
Total : 2400 m</t>
        </is>
      </c>
      <c r="I181" s="3" t="n"/>
      <c r="J181" s="3" t="n"/>
      <c r="K181" s="3" t="n">
        <v>2400</v>
      </c>
    </row>
    <row r="182" ht="36" customHeight="1" s="159">
      <c r="A182" s="175" t="n">
        <v>46366</v>
      </c>
      <c r="B182" s="3" t="inlineStr">
        <is>
          <t>Jeudi</t>
        </is>
      </c>
      <c r="C182" s="7" t="inlineStr">
        <is>
          <t>Course</t>
        </is>
      </c>
      <c r="D182" s="5" t="inlineStr">
        <is>
          <t>EF Z2 + accélérations</t>
        </is>
      </c>
      <c r="E182" s="3" t="n">
        <v>56</v>
      </c>
      <c r="F182" s="5" t="inlineStr">
        <is>
          <t>Z1-Z2</t>
        </is>
      </c>
      <c r="G182" s="3" t="n">
        <v>2</v>
      </c>
      <c r="H182" s="6" t="inlineStr">
        <is>
          <t>56' EF Z2 (127-140 bpm)
6x20'' accélérations en fin — allure libre
Très facile, aucune pression chrono</t>
        </is>
      </c>
      <c r="I182" s="3" t="n">
        <v>9</v>
      </c>
      <c r="J182" s="3" t="n"/>
      <c r="K182" s="3" t="n"/>
    </row>
    <row r="183" ht="24" customHeight="1" s="159">
      <c r="A183" s="175" t="n">
        <v>46367</v>
      </c>
      <c r="B183" s="3" t="inlineStr">
        <is>
          <t>Vendredi</t>
        </is>
      </c>
      <c r="C183" s="7" t="inlineStr">
        <is>
          <t>Course</t>
        </is>
      </c>
      <c r="D183" s="5" t="inlineStr">
        <is>
          <t>EF Z2 — court</t>
        </is>
      </c>
      <c r="E183" s="3" t="n">
        <v>27</v>
      </c>
      <c r="F183" s="5" t="inlineStr">
        <is>
          <t>Z1-Z2</t>
        </is>
      </c>
      <c r="G183" s="3" t="n">
        <v>2</v>
      </c>
      <c r="H183" s="6" t="inlineStr">
        <is>
          <t>27' EF Z1-Z2 (120-135 bpm) — COURT
Vraie récup — pas de strides</t>
        </is>
      </c>
      <c r="I183" s="3" t="n">
        <v>4</v>
      </c>
      <c r="J183" s="3" t="n"/>
      <c r="K183" s="3" t="n"/>
    </row>
    <row r="184" ht="60" customHeight="1" s="159">
      <c r="A184" s="175" t="n">
        <v>46367</v>
      </c>
      <c r="B184" s="3" t="inlineStr">
        <is>
          <t>Vendredi</t>
        </is>
      </c>
      <c r="C184" s="8" t="inlineStr">
        <is>
          <t>Vélo</t>
        </is>
      </c>
      <c r="D184" s="5" t="inlineStr">
        <is>
          <t>Force spécifique</t>
        </is>
      </c>
      <c r="E184" s="3" t="n">
        <v>114</v>
      </c>
      <c r="F184" s="5" t="inlineStr">
        <is>
          <t>Z2-Z3</t>
        </is>
      </c>
      <c r="G184" s="3" t="n">
        <v>5</v>
      </c>
      <c r="H184" s="6">
        <f>"79'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60g glucides/h si &gt;90'"&amp;CHAR(10)&amp;"10' RC (127-140 bpm / "&amp;IF(FTP&gt;0,TEXT(ROUND(FTP*60/500,0)*5,"0"),"?")&amp;"-"&amp;IF(FTP&gt;0,TEXT(ROUND(FTP*70/500,0)*5,"0"),"?")&amp;" W"&amp;")"</f>
        <v/>
      </c>
      <c r="I184" s="3" t="n"/>
      <c r="J184" s="3" t="n">
        <v>53</v>
      </c>
      <c r="K184" s="3" t="n"/>
    </row>
    <row r="185" ht="84" customHeight="1" s="159">
      <c r="A185" s="175" t="n">
        <v>46368</v>
      </c>
      <c r="B185" s="3" t="inlineStr">
        <is>
          <t>Samedi</t>
        </is>
      </c>
      <c r="C185" s="9" t="inlineStr">
        <is>
          <t>Natation</t>
        </is>
      </c>
      <c r="D185" s="5" t="inlineStr">
        <is>
          <t>Natation technique + bloc IM</t>
        </is>
      </c>
      <c r="E185" s="3" t="n">
        <v>98</v>
      </c>
      <c r="F185" s="5" t="inlineStr">
        <is>
          <t>-</t>
        </is>
      </c>
      <c r="G185" s="3" t="n">
        <v>5</v>
      </c>
      <c r="H185" s="6" t="inlineStr">
        <is>
          <t>Échauffement : 4 x 50 m facile (108-117 bpm) — repos 30 s
Éducatifs : 8 x 50 m (catch-up, finger drag, sighting) — repos 30 s
Bloc continu : 1100 m à allure IM, sans arrêt (135-148 bpm, 2:13/100 m) — sighting toutes les 6-8 cycles de bras
Pull buoy : 15 x 100 m (135-148 bpm, 2:10/100 m) — repos 30 s + 50 m à la suite
Retour au calme : 200 m souple (110-126 bpm)
Total : 3450 m</t>
        </is>
      </c>
      <c r="I185" s="3" t="n"/>
      <c r="J185" s="3" t="n"/>
      <c r="K185" s="3" t="n">
        <v>3450</v>
      </c>
    </row>
    <row r="186" ht="36" customHeight="1" s="159">
      <c r="A186" s="175" t="n">
        <v>46368</v>
      </c>
      <c r="B186" s="3" t="inlineStr">
        <is>
          <t>Samedi</t>
        </is>
      </c>
      <c r="C186" s="7" t="inlineStr">
        <is>
          <t>Course</t>
        </is>
      </c>
      <c r="D186" s="5" t="inlineStr">
        <is>
          <t>SORTIE LONGUE Z2 — 105' (17 km)</t>
        </is>
      </c>
      <c r="E186" s="3" t="n">
        <v>105</v>
      </c>
      <c r="F186" s="5" t="inlineStr">
        <is>
          <t>Z2</t>
        </is>
      </c>
      <c r="G186" s="3" t="n">
        <v>6</v>
      </c>
      <c r="H186" s="6" t="inlineStr">
        <is>
          <t>Z2 105' stable (127-140 bpm)
Allure conversationnelle — cadence 170-175 spm
Gel à 45' et 90'</t>
        </is>
      </c>
      <c r="I186" s="3" t="n">
        <v>17</v>
      </c>
      <c r="J186" s="3" t="n"/>
      <c r="K186" s="3" t="n"/>
    </row>
    <row r="187" ht="36" customHeight="1" s="159">
      <c r="A187" s="175" t="n">
        <v>46369</v>
      </c>
      <c r="B187" s="3" t="inlineStr">
        <is>
          <t>Dimanche</t>
        </is>
      </c>
      <c r="C187" s="8" t="inlineStr">
        <is>
          <t>Vélo</t>
        </is>
      </c>
      <c r="D187" s="5" t="inlineStr">
        <is>
          <t>Sortie longue — 285' (133.0 km)</t>
        </is>
      </c>
      <c r="E187" s="3" t="n">
        <v>285</v>
      </c>
      <c r="F187" s="5" t="inlineStr">
        <is>
          <t>Z2-Z3</t>
        </is>
      </c>
      <c r="G187" s="3" t="n">
        <v>6</v>
      </c>
      <c r="H187" s="6">
        <f>"285' Z2 (127-140 bpm / "&amp;IF(FTP&gt;0,TEXT(ROUND(FTP*60/500,0)*5,"0"),"?")&amp;"-"&amp;IF(FTP&gt;0,TEXT(ROUND(FTP*70/500,0)*5,"0"),"?")&amp;" W"&amp;")"&amp;CHAR(10)&amp;"Cadence 85-92 rpm"&amp;CHAR(10)&amp;"NUTRITION : 60g glucides/h si &gt;60'"</f>
        <v/>
      </c>
      <c r="I187" s="3" t="n"/>
      <c r="J187" s="3" t="n">
        <v>133</v>
      </c>
      <c r="K187" s="3" t="n"/>
    </row>
    <row r="188" ht="72" customHeight="1" s="159">
      <c r="A188" s="175" t="n">
        <v>46369</v>
      </c>
      <c r="B188" s="3" t="inlineStr">
        <is>
          <t>Dimanche</t>
        </is>
      </c>
      <c r="C188" s="9" t="inlineStr">
        <is>
          <t>Natation</t>
        </is>
      </c>
      <c r="D188" s="5" t="inlineStr">
        <is>
          <t>Natation endurance</t>
        </is>
      </c>
      <c r="E188" s="3" t="n">
        <v>58</v>
      </c>
      <c r="F188" s="5" t="inlineStr">
        <is>
          <t>-</t>
        </is>
      </c>
      <c r="G188" s="3" t="n">
        <v>4</v>
      </c>
      <c r="H188" s="6" t="inlineStr">
        <is>
          <t>Échauffement : 200 m souple (110-126 bpm, 2:27/100 m)
Série principale : 8 x 200 m à allure soutenue (135-148 bpm, 2:10/100 m) — repos 20 s + 150 m à la suite, même allure
Retour au calme : 200 m souple (110-126 bpm)
Consigne : allure constante sur chaque répétition ; sighting toutes les 6-8 cycles de bras
Total : 2150 m</t>
        </is>
      </c>
      <c r="I188" s="3" t="n"/>
      <c r="J188" s="3" t="n"/>
      <c r="K188" s="3" t="n">
        <v>2150</v>
      </c>
    </row>
    <row r="189" ht="15" customHeight="1" s="159">
      <c r="A189" s="10" t="n"/>
      <c r="B189" s="10" t="n"/>
      <c r="C189" s="10" t="n"/>
      <c r="D189" s="10" t="n"/>
      <c r="E189" s="10" t="n"/>
      <c r="F189" s="10" t="n"/>
      <c r="G189" s="10" t="n"/>
      <c r="H189" s="11" t="inlineStr">
        <is>
          <t>TOTAL SEMAINE</t>
        </is>
      </c>
      <c r="I189" s="10">
        <f>SUM(I177:I188)</f>
        <v/>
      </c>
      <c r="J189" s="10">
        <f>SUM(J177:J188)</f>
        <v/>
      </c>
      <c r="K189" s="10">
        <f>SUM(K177:K188)</f>
        <v/>
      </c>
    </row>
    <row r="190" ht="15" customHeight="1" s="159">
      <c r="A190" s="154" t="inlineStr">
        <is>
          <t xml:space="preserve">  S16 — 14/12/2026 → 20/12/2026   |     Phase 2 — Build</t>
        </is>
      </c>
    </row>
    <row r="191" ht="15" customHeight="1" s="159">
      <c r="A191" s="175" t="n">
        <v>46370</v>
      </c>
      <c r="B191" s="3" t="inlineStr">
        <is>
          <t>Lundi</t>
        </is>
      </c>
      <c r="C191" s="4" t="inlineStr">
        <is>
          <t>Repos</t>
        </is>
      </c>
      <c r="D191" s="5" t="inlineStr">
        <is>
          <t>OFF</t>
        </is>
      </c>
      <c r="E191" s="3" t="inlineStr">
        <is>
          <t>-</t>
        </is>
      </c>
      <c r="F191" s="5" t="inlineStr">
        <is>
          <t>-</t>
        </is>
      </c>
      <c r="G191" s="3" t="n">
        <v>1</v>
      </c>
      <c r="H191" s="6" t="inlineStr">
        <is>
          <t>Repos complet</t>
        </is>
      </c>
      <c r="I191" s="3" t="n"/>
      <c r="J191" s="3" t="n"/>
      <c r="K191" s="3" t="n"/>
    </row>
    <row r="192" ht="144" customHeight="1" s="159">
      <c r="A192" s="175" t="n">
        <v>46371</v>
      </c>
      <c r="B192" s="3" t="inlineStr">
        <is>
          <t>Mardi</t>
        </is>
      </c>
      <c r="C192" s="7" t="inlineStr">
        <is>
          <t>Course</t>
        </is>
      </c>
      <c r="D192" s="5" t="inlineStr">
        <is>
          <t>Qualité — 20-15-10 (SV1 / SV1+ / Allure IM)</t>
        </is>
      </c>
      <c r="E192" s="3" t="n">
        <v>65</v>
      </c>
      <c r="F192" s="5" t="inlineStr">
        <is>
          <t>Z3</t>
        </is>
      </c>
      <c r="G192" s="3" t="n">
        <v>6</v>
      </c>
      <c r="H192" s="6" t="inlineStr">
        <is>
          <t>Objectif : durabilité : finir à l'allure IM après SV1 → SV1+ — répéter le ravitaillement : 30 g de glucides
8' EF Z2 (127-140 bpm)
20' SV1 (155-165 bpm)
3' de repos
15' SV1+ (165-171 bpm)
3' de repos
10' Allure IM (150-155 bpm)
6' EF Z2 (127-140 bpm)</t>
        </is>
      </c>
      <c r="I192" s="3" t="n">
        <v>11</v>
      </c>
      <c r="J192" s="3" t="n"/>
      <c r="K192" s="3" t="n"/>
    </row>
    <row r="193" ht="24" customHeight="1" s="159">
      <c r="A193" s="175" t="n">
        <v>46371</v>
      </c>
      <c r="B193" s="3" t="inlineStr">
        <is>
          <t>Mardi</t>
        </is>
      </c>
      <c r="C193" s="8" t="inlineStr">
        <is>
          <t>Vélo</t>
        </is>
      </c>
      <c r="D193" s="5" t="inlineStr">
        <is>
          <t>Vélo récupération Z1</t>
        </is>
      </c>
      <c r="E193" s="3" t="n">
        <v>51</v>
      </c>
      <c r="F193" s="5" t="inlineStr">
        <is>
          <t>Z2</t>
        </is>
      </c>
      <c r="G193" s="3" t="n">
        <v>2</v>
      </c>
      <c r="H193" s="6">
        <f>"51' Z1 très facile (&lt; 127 bpm / "&amp;IF(FTP&gt;0,TEXT(ROUND(FTP*50/500,0)*5,"0"),"?")&amp;"-"&amp;IF(FTP&gt;0,TEXT(ROUND(FTP*55/500,0)*5,"0"),"?")&amp;" W"&amp;") — récupération active"&amp;CHAR(10)&amp;"Cadence souple 85-90 rpm"</f>
        <v/>
      </c>
      <c r="I193" s="3" t="n"/>
      <c r="J193" s="3" t="n">
        <v>24</v>
      </c>
      <c r="K193" s="3" t="n"/>
    </row>
    <row r="194" ht="60" customHeight="1" s="159">
      <c r="A194" s="175" t="n">
        <v>46372</v>
      </c>
      <c r="B194" s="3" t="inlineStr">
        <is>
          <t>Mercredi</t>
        </is>
      </c>
      <c r="C194" s="8" t="inlineStr">
        <is>
          <t>Vélo</t>
        </is>
      </c>
      <c r="D194" s="5" t="inlineStr">
        <is>
          <t>Vélo clé — Tempo 3x20' (147-159 bpm) — r=5'</t>
        </is>
      </c>
      <c r="E194" s="3" t="n">
        <v>146</v>
      </c>
      <c r="F194" s="5" t="inlineStr">
        <is>
          <t>Z3</t>
        </is>
      </c>
      <c r="G194" s="3" t="n">
        <v>6</v>
      </c>
      <c r="H194" s="6">
        <f>"66' EF Z2 (127-140 bpm / "&amp;IF(FTP&gt;0,TEXT(ROUND(FTP*60/500,0)*5,"0"),"?")&amp;"-"&amp;IF(FTP&gt;0,TEXT(ROUND(FTP*70/500,0)*5,"0"),"?")&amp;" W"&amp;") | 3x20' à 147-159 bpm (76-82% FC max / "&amp;IF(FTP&gt;0,TEXT(ROUND(FTP*82/500,0)*5,"0"),"?")&amp;"-"&amp;IF(FTP&gt;0,TEXT(ROUND(FTP*87/500,0)*5,"0"),"?")&amp;" W"&amp;") — r=5'"&amp;CHAR(10)&amp;"Objectif : endurance de tempo, pont vers l'allure IM"&amp;CHAR(10)&amp;"FC bloc cible : 147-159 bpm (76-82% FC max) | Cadence : 85-92 rpm | RPE 6-7/10"&amp;CHAR(10)&amp;"NUTRITION : 60g glucides/h si &gt;90'"&amp;CHAR(10)&amp;"10' RC (127-140 bpm / "&amp;IF(FTP&gt;0,TEXT(ROUND(FTP*60/500,0)*5,"0"),"?")&amp;"-"&amp;IF(FTP&gt;0,TEXT(ROUND(FTP*70/500,0)*5,"0"),"?")&amp;" W"&amp;")"</f>
        <v/>
      </c>
      <c r="I194" s="3" t="n"/>
      <c r="J194" s="3" t="n">
        <v>68</v>
      </c>
      <c r="K194" s="3" t="n"/>
    </row>
    <row r="195" ht="72" customHeight="1" s="159">
      <c r="A195" s="175" t="n">
        <v>46373</v>
      </c>
      <c r="B195" s="3" t="inlineStr">
        <is>
          <t>Jeudi</t>
        </is>
      </c>
      <c r="C195" s="9" t="inlineStr">
        <is>
          <t>Natation</t>
        </is>
      </c>
      <c r="D195" s="5" t="inlineStr">
        <is>
          <t>Natation endurance</t>
        </is>
      </c>
      <c r="E195" s="3" t="n">
        <v>64</v>
      </c>
      <c r="F195" s="5" t="inlineStr">
        <is>
          <t>-</t>
        </is>
      </c>
      <c r="G195" s="3" t="n">
        <v>4</v>
      </c>
      <c r="H195" s="6" t="inlineStr">
        <is>
          <t>Échauffement : 200 m souple (110-126 bpm, 2:27/100 m)
Série principale : 6 x 300 m à allure soutenue (135-148 bpm, 2:10/100 m) — repos 20 s + 250 m à la suite, même allure
Retour au calme : 200 m souple (110-126 bpm)
Consigne : allure constante sur chaque répétition ; sighting toutes les 6-8 cycles de bras
Total : 2450 m</t>
        </is>
      </c>
      <c r="I195" s="3" t="n"/>
      <c r="J195" s="3" t="n"/>
      <c r="K195" s="3" t="n">
        <v>2450</v>
      </c>
    </row>
    <row r="196" ht="36" customHeight="1" s="159">
      <c r="A196" s="175" t="n">
        <v>46373</v>
      </c>
      <c r="B196" s="3" t="inlineStr">
        <is>
          <t>Jeudi</t>
        </is>
      </c>
      <c r="C196" s="7" t="inlineStr">
        <is>
          <t>Course</t>
        </is>
      </c>
      <c r="D196" s="5" t="inlineStr">
        <is>
          <t>EF Z2 + accélérations</t>
        </is>
      </c>
      <c r="E196" s="3" t="n">
        <v>62</v>
      </c>
      <c r="F196" s="5" t="inlineStr">
        <is>
          <t>Z1-Z2</t>
        </is>
      </c>
      <c r="G196" s="3" t="n">
        <v>2</v>
      </c>
      <c r="H196" s="6" t="inlineStr">
        <is>
          <t>62' EF Z2 (127-140 bpm)
6x20'' accélérations en fin — allure libre
Très facile, aucune pression chrono</t>
        </is>
      </c>
      <c r="I196" s="3" t="n">
        <v>10</v>
      </c>
      <c r="J196" s="3" t="n"/>
      <c r="K196" s="3" t="n"/>
    </row>
    <row r="197" ht="24" customHeight="1" s="159">
      <c r="A197" s="175" t="n">
        <v>46374</v>
      </c>
      <c r="B197" s="3" t="inlineStr">
        <is>
          <t>Vendredi</t>
        </is>
      </c>
      <c r="C197" s="7" t="inlineStr">
        <is>
          <t>Course</t>
        </is>
      </c>
      <c r="D197" s="5" t="inlineStr">
        <is>
          <t>EF Z2 — court</t>
        </is>
      </c>
      <c r="E197" s="3" t="n">
        <v>27</v>
      </c>
      <c r="F197" s="5" t="inlineStr">
        <is>
          <t>Z1-Z2</t>
        </is>
      </c>
      <c r="G197" s="3" t="n">
        <v>2</v>
      </c>
      <c r="H197" s="6" t="inlineStr">
        <is>
          <t>27' EF Z1-Z2 (120-135 bpm) — COURT
Vraie récup — pas de strides</t>
        </is>
      </c>
      <c r="I197" s="3" t="n">
        <v>4</v>
      </c>
      <c r="J197" s="3" t="n"/>
      <c r="K197" s="3" t="n"/>
    </row>
    <row r="198" ht="60" customHeight="1" s="159">
      <c r="A198" s="175" t="n">
        <v>46374</v>
      </c>
      <c r="B198" s="3" t="inlineStr">
        <is>
          <t>Vendredi</t>
        </is>
      </c>
      <c r="C198" s="8" t="inlineStr">
        <is>
          <t>Vélo</t>
        </is>
      </c>
      <c r="D198" s="5" t="inlineStr">
        <is>
          <t>Force spécifique</t>
        </is>
      </c>
      <c r="E198" s="3" t="n">
        <v>118</v>
      </c>
      <c r="F198" s="5" t="inlineStr">
        <is>
          <t>Z2-Z3</t>
        </is>
      </c>
      <c r="G198" s="3" t="n">
        <v>5</v>
      </c>
      <c r="H198" s="6">
        <f>"83'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60g glucides/h si &gt;90'"&amp;CHAR(10)&amp;"10' RC (127-140 bpm / "&amp;IF(FTP&gt;0,TEXT(ROUND(FTP*60/500,0)*5,"0"),"?")&amp;"-"&amp;IF(FTP&gt;0,TEXT(ROUND(FTP*70/500,0)*5,"0"),"?")&amp;" W"&amp;")"</f>
        <v/>
      </c>
      <c r="I198" s="3" t="n"/>
      <c r="J198" s="3" t="n">
        <v>55</v>
      </c>
      <c r="K198" s="3" t="n"/>
    </row>
    <row r="199" ht="84" customHeight="1" s="159">
      <c r="A199" s="175" t="n">
        <v>46375</v>
      </c>
      <c r="B199" s="3" t="inlineStr">
        <is>
          <t>Samedi</t>
        </is>
      </c>
      <c r="C199" s="9" t="inlineStr">
        <is>
          <t>Natation</t>
        </is>
      </c>
      <c r="D199" s="5" t="inlineStr">
        <is>
          <t>Natation technique + bloc IM</t>
        </is>
      </c>
      <c r="E199" s="3" t="n">
        <v>100</v>
      </c>
      <c r="F199" s="5" t="inlineStr">
        <is>
          <t>-</t>
        </is>
      </c>
      <c r="G199" s="3" t="n">
        <v>5</v>
      </c>
      <c r="H199" s="6" t="inlineStr">
        <is>
          <t>Échauffement : 4 x 50 m facile (108-117 bpm) — repos 30 s
Éducatifs : 8 x 50 m (catch-up, finger drag, sighting) — repos 30 s
Bloc continu : 1200 m à allure IM, sans arrêt (135-148 bpm, 2:13/100 m) — sighting toutes les 6-8 cycles de bras
Pull buoy : 15 x 100 m (135-148 bpm, 2:10/100 m) — repos 30 s + 50 m à la suite
Retour au calme : 200 m souple (110-126 bpm)
Total : 3550 m</t>
        </is>
      </c>
      <c r="I199" s="3" t="n"/>
      <c r="J199" s="3" t="n"/>
      <c r="K199" s="3" t="n">
        <v>3550</v>
      </c>
    </row>
    <row r="200" ht="36" customHeight="1" s="159">
      <c r="A200" s="175" t="n">
        <v>46375</v>
      </c>
      <c r="B200" s="3" t="inlineStr">
        <is>
          <t>Samedi</t>
        </is>
      </c>
      <c r="C200" s="7" t="inlineStr">
        <is>
          <t>Course</t>
        </is>
      </c>
      <c r="D200" s="5" t="inlineStr">
        <is>
          <t>SORTIE LONGUE Z2 — 111' (18 km)</t>
        </is>
      </c>
      <c r="E200" s="3" t="n">
        <v>111</v>
      </c>
      <c r="F200" s="5" t="inlineStr">
        <is>
          <t>Z2</t>
        </is>
      </c>
      <c r="G200" s="3" t="n">
        <v>6</v>
      </c>
      <c r="H200" s="6" t="inlineStr">
        <is>
          <t>Z2 111' stable (127-140 bpm)
Allure conversationnelle — cadence 170-175 spm
Gel à 45' et 90'</t>
        </is>
      </c>
      <c r="I200" s="3" t="n">
        <v>18</v>
      </c>
      <c r="J200" s="3" t="n"/>
      <c r="K200" s="3" t="n"/>
    </row>
    <row r="201" ht="36" customHeight="1" s="159">
      <c r="A201" s="175" t="n">
        <v>46376</v>
      </c>
      <c r="B201" s="3" t="inlineStr">
        <is>
          <t>Dimanche</t>
        </is>
      </c>
      <c r="C201" s="8" t="inlineStr">
        <is>
          <t>Vélo</t>
        </is>
      </c>
      <c r="D201" s="5" t="inlineStr">
        <is>
          <t>Sortie longue — 289' (135.0 km)</t>
        </is>
      </c>
      <c r="E201" s="3" t="n">
        <v>289</v>
      </c>
      <c r="F201" s="5" t="inlineStr">
        <is>
          <t>Z2-Z3</t>
        </is>
      </c>
      <c r="G201" s="3" t="n">
        <v>6</v>
      </c>
      <c r="H201" s="6">
        <f>"289' Z2 (127-140 bpm / "&amp;IF(FTP&gt;0,TEXT(ROUND(FTP*60/500,0)*5,"0"),"?")&amp;"-"&amp;IF(FTP&gt;0,TEXT(ROUND(FTP*70/500,0)*5,"0"),"?")&amp;" W"&amp;")"&amp;CHAR(10)&amp;"Cadence 85-92 rpm"&amp;CHAR(10)&amp;"NUTRITION : 60g glucides/h si &gt;60'"</f>
        <v/>
      </c>
      <c r="I201" s="3" t="n"/>
      <c r="J201" s="3" t="n">
        <v>135</v>
      </c>
      <c r="K201" s="3" t="n"/>
    </row>
    <row r="202" ht="60" customHeight="1" s="159">
      <c r="A202" s="175" t="n">
        <v>46376</v>
      </c>
      <c r="B202" s="3" t="inlineStr">
        <is>
          <t>Dimanche</t>
        </is>
      </c>
      <c r="C202" s="9" t="inlineStr">
        <is>
          <t>Natation</t>
        </is>
      </c>
      <c r="D202" s="5" t="inlineStr">
        <is>
          <t>Natation endurance</t>
        </is>
      </c>
      <c r="E202" s="3" t="n">
        <v>60</v>
      </c>
      <c r="F202" s="5" t="inlineStr">
        <is>
          <t>-</t>
        </is>
      </c>
      <c r="G202" s="3" t="n">
        <v>4</v>
      </c>
      <c r="H202" s="6" t="inlineStr">
        <is>
          <t>Échauffement : 200 m souple (110-126 bpm, 2:27/100 m)
Série principale : 9 x 200 m à allure soutenue (135-148 bpm, 2:10/100 m) — repos 20 s
Retour au calme : 200 m souple (110-126 bpm)
Consigne : allure constante sur chaque répétition ; sighting toutes les 6-8 cycles de bras
Total : 2200 m</t>
        </is>
      </c>
      <c r="I202" s="3" t="n"/>
      <c r="J202" s="3" t="n"/>
      <c r="K202" s="3" t="n">
        <v>2200</v>
      </c>
    </row>
    <row r="203" ht="15" customHeight="1" s="159">
      <c r="A203" s="10" t="n"/>
      <c r="B203" s="10" t="n"/>
      <c r="C203" s="10" t="n"/>
      <c r="D203" s="10" t="n"/>
      <c r="E203" s="10" t="n"/>
      <c r="F203" s="10" t="n"/>
      <c r="G203" s="10" t="n"/>
      <c r="H203" s="11" t="inlineStr">
        <is>
          <t>TOTAL SEMAINE</t>
        </is>
      </c>
      <c r="I203" s="10">
        <f>SUM(I191:I202)</f>
        <v/>
      </c>
      <c r="J203" s="10">
        <f>SUM(J191:J202)</f>
        <v/>
      </c>
      <c r="K203" s="10">
        <f>SUM(K191:K202)</f>
        <v/>
      </c>
    </row>
    <row r="204" ht="15" customHeight="1" s="159">
      <c r="A204" s="152" t="inlineStr">
        <is>
          <t xml:space="preserve">  S17 — 21/12/2026 → 27/12/2026   |     Paris — Noël (Deload)</t>
        </is>
      </c>
    </row>
    <row r="205" ht="15" customHeight="1" s="159">
      <c r="A205" s="175" t="n">
        <v>46377</v>
      </c>
      <c r="B205" s="3" t="inlineStr">
        <is>
          <t>Lundi</t>
        </is>
      </c>
      <c r="C205" s="4" t="inlineStr">
        <is>
          <t>Repos</t>
        </is>
      </c>
      <c r="D205" s="5" t="inlineStr">
        <is>
          <t>OFF — Paris</t>
        </is>
      </c>
      <c r="E205" s="3" t="inlineStr">
        <is>
          <t>-</t>
        </is>
      </c>
      <c r="F205" s="5" t="inlineStr">
        <is>
          <t>-</t>
        </is>
      </c>
      <c r="G205" s="3" t="n">
        <v>1</v>
      </c>
      <c r="H205" s="6" t="inlineStr">
        <is>
          <t>Repos complet</t>
        </is>
      </c>
      <c r="I205" s="3" t="n"/>
      <c r="J205" s="3" t="n"/>
      <c r="K205" s="3" t="n"/>
    </row>
    <row r="206" ht="60" customHeight="1" s="159">
      <c r="A206" s="175" t="n">
        <v>46378</v>
      </c>
      <c r="B206" s="3" t="inlineStr">
        <is>
          <t>Mardi</t>
        </is>
      </c>
      <c r="C206" s="8" t="inlineStr">
        <is>
          <t>Vélo</t>
        </is>
      </c>
      <c r="D206" s="5" t="inlineStr">
        <is>
          <t>Vélo clé — 2x12' @ 90% FTP — r=5'</t>
        </is>
      </c>
      <c r="E206" s="3" t="n">
        <v>109</v>
      </c>
      <c r="F206" s="5" t="inlineStr">
        <is>
          <t>Z3</t>
        </is>
      </c>
      <c r="G206" s="3" t="n">
        <v>5</v>
      </c>
      <c r="H206" s="6">
        <f>"70' EF Z2 (127-140 bpm / "&amp;IF(FTP&gt;0,TEXT(ROUND(FTP*60/500,0)*5,"0"),"?")&amp;"-"&amp;IF(FTP&gt;0,TEXT(ROUND(FTP*70/500,0)*5,"0"),"?")&amp;" W"&amp;") | 2x12' @ 90% FTP ("&amp;IF(FTP&gt;0,TEXT(ROUND(FTP*90/500,0)*5,"0"),"?")&amp;" W"&amp;") — r=5'"&amp;CHAR(10)&amp;"Objectif : développer la puissance au seuil (FTP)"&amp;CHAR(10)&amp;"FC bloc cible : ~163 bpm (84% FC max) | Cadence : 87-93 rpm | RPE 7-8/10"&amp;CHAR(10)&amp;"NUTRITION : 60g glucides/h si &gt;90'"&amp;CHAR(10)&amp;"10' RC (127-140 bpm / "&amp;IF(FTP&gt;0,TEXT(ROUND(FTP*60/500,0)*5,"0"),"?")&amp;"-"&amp;IF(FTP&gt;0,TEXT(ROUND(FTP*70/500,0)*5,"0"),"?")&amp;" W"&amp;")"</f>
        <v/>
      </c>
      <c r="I206" s="3" t="n"/>
      <c r="J206" s="3" t="n">
        <v>51</v>
      </c>
      <c r="K206" s="3" t="n"/>
    </row>
    <row r="207" ht="84" customHeight="1" s="159">
      <c r="A207" s="175" t="n">
        <v>46378</v>
      </c>
      <c r="B207" s="3" t="inlineStr">
        <is>
          <t>Mardi</t>
        </is>
      </c>
      <c r="C207" s="9" t="inlineStr">
        <is>
          <t>Natation</t>
        </is>
      </c>
      <c r="D207" s="5" t="inlineStr">
        <is>
          <t>Natation technique + bloc IM</t>
        </is>
      </c>
      <c r="E207" s="3" t="n">
        <v>88</v>
      </c>
      <c r="F207" s="5" t="inlineStr">
        <is>
          <t>-</t>
        </is>
      </c>
      <c r="G207" s="3" t="n">
        <v>4</v>
      </c>
      <c r="H207" s="6" t="inlineStr">
        <is>
          <t>Échauffement : 4 x 50 m facile (108-117 bpm) — repos 30 s
Éducatifs : 8 x 50 m (catch-up, finger drag, sighting) — repos 30 s
Bloc continu : 800 m à allure IM, sans arrêt (135-148 bpm, 2:13/100 m) — sighting toutes les 6-8 cycles de bras
Pull buoy : 14 x 100 m (135-148 bpm, 2:10/100 m) — repos 30 s
Retour au calme : 200 m souple (110-126 bpm)
Total : 3000 m</t>
        </is>
      </c>
      <c r="I207" s="3" t="n"/>
      <c r="J207" s="3" t="n"/>
      <c r="K207" s="3" t="n">
        <v>3000</v>
      </c>
    </row>
    <row r="208" ht="36" customHeight="1" s="159">
      <c r="A208" s="175" t="n">
        <v>46379</v>
      </c>
      <c r="B208" s="3" t="inlineStr">
        <is>
          <t>Mercredi</t>
        </is>
      </c>
      <c r="C208" s="8" t="inlineStr">
        <is>
          <t>Vélo</t>
        </is>
      </c>
      <c r="D208" s="5" t="inlineStr">
        <is>
          <t>Vélo Z2 — Paris</t>
        </is>
      </c>
      <c r="E208" s="3" t="n">
        <v>100</v>
      </c>
      <c r="F208" s="5" t="inlineStr">
        <is>
          <t>Z2</t>
        </is>
      </c>
      <c r="G208" s="3" t="n">
        <v>3</v>
      </c>
      <c r="H208" s="6">
        <f>"100' Z2 (127-140 bpm / "&amp;IF(FTP&gt;0,TEXT(ROUND(FTP*60/500,0)*5,"0"),"?")&amp;"-"&amp;IF(FTP&gt;0,TEXT(ROUND(FTP*70/500,0)*5,"0"),"?")&amp;" W"&amp;") — parcours Paris, terrain plat"&amp;CHAR(10)&amp;"Cadence souple 85-90 rpm"&amp;CHAR(10)&amp;"NUTRITION : 60g glucides/h si &gt;90'"</f>
        <v/>
      </c>
      <c r="I208" s="3" t="n"/>
      <c r="J208" s="3" t="n">
        <v>46.5</v>
      </c>
      <c r="K208" s="3" t="n"/>
    </row>
    <row r="209" ht="132" customHeight="1" s="159">
      <c r="A209" s="175" t="n">
        <v>46380</v>
      </c>
      <c r="B209" s="3" t="inlineStr">
        <is>
          <t>Jeudi</t>
        </is>
      </c>
      <c r="C209" s="7" t="inlineStr">
        <is>
          <t>Course</t>
        </is>
      </c>
      <c r="D209" s="5" t="inlineStr">
        <is>
          <t>Tempo — Progressif 2x8' (80/85%) — décharge</t>
        </is>
      </c>
      <c r="E209" s="3" t="n">
        <v>55</v>
      </c>
      <c r="F209" s="5" t="inlineStr">
        <is>
          <t>Z3-Z4</t>
        </is>
      </c>
      <c r="G209" s="3" t="n">
        <v>6</v>
      </c>
      <c r="H209" s="6" t="inlineStr">
        <is>
          <t>Objectif : progression SV1 → SV2, endurance de seuil
22' EF Z2 (127-140 bpm) + 2-4 lignes droites
8' à 80% FC max (155 bpm)
8' à 85% FC max (165 bpm)
(enchaînés, sans repos)
17' EF Z2 (127-140 bpm)
Décharge : même type de séance que le bloc précédent, volume de qualité réduit</t>
        </is>
      </c>
      <c r="I209" s="3" t="n">
        <v>9</v>
      </c>
      <c r="J209" s="3" t="n"/>
      <c r="K209" s="3" t="n"/>
    </row>
    <row r="210" ht="15" customHeight="1" s="159">
      <c r="A210" s="175" t="n">
        <v>46381</v>
      </c>
      <c r="B210" s="3" t="inlineStr">
        <is>
          <t>Vendredi</t>
        </is>
      </c>
      <c r="C210" s="4" t="inlineStr">
        <is>
          <t>Repos</t>
        </is>
      </c>
      <c r="D210" s="5" t="inlineStr">
        <is>
          <t>OFF — Noël</t>
        </is>
      </c>
      <c r="E210" s="3" t="inlineStr">
        <is>
          <t>-</t>
        </is>
      </c>
      <c r="F210" s="5" t="inlineStr">
        <is>
          <t>-</t>
        </is>
      </c>
      <c r="G210" s="3" t="n">
        <v>1</v>
      </c>
      <c r="H210" s="6" t="inlineStr">
        <is>
          <t>Repos complet</t>
        </is>
      </c>
      <c r="I210" s="3" t="n"/>
      <c r="J210" s="3" t="n"/>
      <c r="K210" s="3" t="n"/>
    </row>
    <row r="211" ht="72" customHeight="1" s="159">
      <c r="A211" s="175" t="n">
        <v>46382</v>
      </c>
      <c r="B211" s="3" t="inlineStr">
        <is>
          <t>Samedi</t>
        </is>
      </c>
      <c r="C211" s="9" t="inlineStr">
        <is>
          <t>Natation</t>
        </is>
      </c>
      <c r="D211" s="5" t="inlineStr">
        <is>
          <t>Natation endurance</t>
        </is>
      </c>
      <c r="E211" s="3" t="n">
        <v>70</v>
      </c>
      <c r="F211" s="5" t="inlineStr">
        <is>
          <t>-</t>
        </is>
      </c>
      <c r="G211" s="3" t="n">
        <v>4</v>
      </c>
      <c r="H211" s="6" t="inlineStr">
        <is>
          <t>Échauffement : 200 m souple (110-126 bpm, 2:27/100 m)
Série principale : 7 x 300 m à allure soutenue (135-148 bpm, 2:10/100 m) — repos 20 s + 250 m à la suite, même allure
Retour au calme : 200 m souple (110-126 bpm)
Consigne : allure constante sur chaque répétition ; sighting toutes les 6-8 cycles de bras
Total : 2750 m</t>
        </is>
      </c>
      <c r="I211" s="3" t="n"/>
      <c r="J211" s="3" t="n"/>
      <c r="K211" s="3" t="n">
        <v>2750</v>
      </c>
    </row>
    <row r="212" ht="24" customHeight="1" s="159">
      <c r="A212" s="175" t="n">
        <v>46382</v>
      </c>
      <c r="B212" s="3" t="inlineStr">
        <is>
          <t>Samedi</t>
        </is>
      </c>
      <c r="C212" s="7" t="inlineStr">
        <is>
          <t>Course</t>
        </is>
      </c>
      <c r="D212" s="5" t="inlineStr">
        <is>
          <t>EF + strides</t>
        </is>
      </c>
      <c r="E212" s="3" t="n">
        <v>50</v>
      </c>
      <c r="F212" s="5" t="inlineStr">
        <is>
          <t>Z1-Z2</t>
        </is>
      </c>
      <c r="G212" s="3" t="n">
        <v>2</v>
      </c>
      <c r="H212" s="6" t="inlineStr">
        <is>
          <t>50' EF Z2 (127-140 bpm) | 4x20'' strides
Jamais &gt; Z2 — parcours Paris</t>
        </is>
      </c>
      <c r="I212" s="3" t="n">
        <v>8</v>
      </c>
      <c r="J212" s="3" t="n"/>
      <c r="K212" s="3" t="n"/>
    </row>
    <row r="213" ht="36" customHeight="1" s="159">
      <c r="A213" s="175" t="n">
        <v>46383</v>
      </c>
      <c r="B213" s="3" t="inlineStr">
        <is>
          <t>Dimanche</t>
        </is>
      </c>
      <c r="C213" s="7" t="inlineStr">
        <is>
          <t>Course</t>
        </is>
      </c>
      <c r="D213" s="5" t="inlineStr">
        <is>
          <t>SORTIE LONGUE Z2 — 80' (13 km)</t>
        </is>
      </c>
      <c r="E213" s="3" t="n">
        <v>80</v>
      </c>
      <c r="F213" s="5" t="inlineStr">
        <is>
          <t>Z2</t>
        </is>
      </c>
      <c r="G213" s="3" t="n">
        <v>5</v>
      </c>
      <c r="H213" s="6" t="inlineStr">
        <is>
          <t>80' Z2 stable (127-140 bpm) — parcours Paris
Allure conversationnelle — cadence 170-175 spm
Semaine deload — volume réduit</t>
        </is>
      </c>
      <c r="I213" s="3" t="n">
        <v>13</v>
      </c>
      <c r="J213" s="3" t="n"/>
      <c r="K213" s="3" t="n"/>
    </row>
    <row r="214" ht="15" customHeight="1" s="159">
      <c r="A214" s="10" t="n"/>
      <c r="B214" s="10" t="n"/>
      <c r="C214" s="10" t="n"/>
      <c r="D214" s="10" t="n"/>
      <c r="E214" s="10" t="n"/>
      <c r="F214" s="10" t="n"/>
      <c r="G214" s="10" t="n"/>
      <c r="H214" s="11" t="inlineStr">
        <is>
          <t>TOTAL SEMAINE</t>
        </is>
      </c>
      <c r="I214" s="10">
        <f>SUM(I205:I213)</f>
        <v/>
      </c>
      <c r="J214" s="10">
        <f>SUM(J205:J213)</f>
        <v/>
      </c>
      <c r="K214" s="10">
        <f>SUM(K205:K213)</f>
        <v/>
      </c>
    </row>
    <row r="215" ht="15" customHeight="1" s="159">
      <c r="A215" s="146" t="inlineStr">
        <is>
          <t xml:space="preserve">  S18 — 28/12/2026 → 03/01/2027   |     Semaine spé CAP — Vélo sam/dim + brick</t>
        </is>
      </c>
    </row>
    <row r="216" ht="15" customHeight="1" s="159">
      <c r="A216" s="175" t="n">
        <v>46384</v>
      </c>
      <c r="B216" s="3" t="inlineStr">
        <is>
          <t>Lundi</t>
        </is>
      </c>
      <c r="C216" s="4" t="inlineStr">
        <is>
          <t>Repos</t>
        </is>
      </c>
      <c r="D216" s="5" t="inlineStr">
        <is>
          <t>OFF</t>
        </is>
      </c>
      <c r="E216" s="3" t="inlineStr">
        <is>
          <t>-</t>
        </is>
      </c>
      <c r="F216" s="5" t="inlineStr">
        <is>
          <t>-</t>
        </is>
      </c>
      <c r="G216" s="3" t="n">
        <v>1</v>
      </c>
      <c r="H216" s="6" t="inlineStr">
        <is>
          <t>Repos complet</t>
        </is>
      </c>
      <c r="I216" s="3" t="n"/>
      <c r="J216" s="3" t="n"/>
      <c r="K216" s="3" t="n"/>
    </row>
    <row r="217" ht="108" customHeight="1" s="159">
      <c r="A217" s="175" t="n">
        <v>46385</v>
      </c>
      <c r="B217" s="3" t="inlineStr">
        <is>
          <t>Mardi</t>
        </is>
      </c>
      <c r="C217" s="7" t="inlineStr">
        <is>
          <t>Course</t>
        </is>
      </c>
      <c r="D217" s="5" t="inlineStr">
        <is>
          <t>Qualité — 1km lent/rapide x2 (80/87%)</t>
        </is>
      </c>
      <c r="E217" s="3" t="n">
        <v>43</v>
      </c>
      <c r="F217" s="5" t="inlineStr">
        <is>
          <t>Z3-Z4</t>
        </is>
      </c>
      <c r="G217" s="3" t="n">
        <v>6</v>
      </c>
      <c r="H217" s="6" t="inlineStr">
        <is>
          <t>Objectif : économie de course et relance (alternance lent / rapide)
11' EF Z2 (127-140 bpm)
2 x [1 km à 80% FC max (155 bpm) — 1'15 de repos — 1 km à 87% (169 bpm)]
1'40 de repos entre chaque série
8' EF Z2 (127-140 bpm)</t>
        </is>
      </c>
      <c r="I217" s="3" t="n">
        <v>7.5</v>
      </c>
      <c r="J217" s="3" t="n"/>
      <c r="K217" s="3" t="n"/>
    </row>
    <row r="218" ht="36" customHeight="1" s="159">
      <c r="A218" s="175" t="n">
        <v>46386</v>
      </c>
      <c r="B218" s="3" t="inlineStr">
        <is>
          <t>Mercredi</t>
        </is>
      </c>
      <c r="C218" s="7" t="inlineStr">
        <is>
          <t>Course</t>
        </is>
      </c>
      <c r="D218" s="5" t="inlineStr">
        <is>
          <t>EF Z2 + accélérations</t>
        </is>
      </c>
      <c r="E218" s="3" t="n">
        <v>60</v>
      </c>
      <c r="F218" s="5" t="inlineStr">
        <is>
          <t>Z1-Z2</t>
        </is>
      </c>
      <c r="G218" s="3" t="n">
        <v>2</v>
      </c>
      <c r="H218" s="6" t="inlineStr">
        <is>
          <t>60' EF Z2 (127-140 bpm)
6x20'' accélérations en fin — allure libre
Très facile, aucune pression chrono</t>
        </is>
      </c>
      <c r="I218" s="3" t="n">
        <v>10</v>
      </c>
      <c r="J218" s="3" t="n"/>
      <c r="K218" s="3" t="n"/>
    </row>
    <row r="219" ht="72" customHeight="1" s="159">
      <c r="A219" s="175" t="n">
        <v>46386</v>
      </c>
      <c r="B219" s="3" t="inlineStr">
        <is>
          <t>Mercredi</t>
        </is>
      </c>
      <c r="C219" s="9" t="inlineStr">
        <is>
          <t>Natation</t>
        </is>
      </c>
      <c r="D219" s="5" t="inlineStr">
        <is>
          <t>Natation endurance</t>
        </is>
      </c>
      <c r="E219" s="3" t="n">
        <v>60</v>
      </c>
      <c r="F219" s="5" t="inlineStr">
        <is>
          <t>-</t>
        </is>
      </c>
      <c r="G219" s="3" t="n">
        <v>4</v>
      </c>
      <c r="H219" s="6" t="inlineStr">
        <is>
          <t>Échauffement : 200 m souple (110-126 bpm, 2:27/100 m)
Série principale : 6 x 300 m à allure soutenue (135-148 bpm, 2:10/100 m) — repos 20 s + 50 m à la suite, même allure
Retour au calme : 200 m souple (110-126 bpm)
Consigne : allure constante sur chaque répétition ; sighting toutes les 6-8 cycles de bras
Total : 2250 m</t>
        </is>
      </c>
      <c r="I219" s="3" t="n"/>
      <c r="J219" s="3" t="n"/>
      <c r="K219" s="3" t="n">
        <v>2250</v>
      </c>
    </row>
    <row r="220" ht="84" customHeight="1" s="159">
      <c r="A220" s="175" t="n">
        <v>46387</v>
      </c>
      <c r="B220" s="3" t="inlineStr">
        <is>
          <t>Jeudi</t>
        </is>
      </c>
      <c r="C220" s="7" t="inlineStr">
        <is>
          <t>Course</t>
        </is>
      </c>
      <c r="D220" s="5" t="inlineStr">
        <is>
          <t>Tempo — Jog progressif 37' (version courte)</t>
        </is>
      </c>
      <c r="E220" s="3" t="n">
        <v>37</v>
      </c>
      <c r="F220" s="5" t="inlineStr">
        <is>
          <t>Z2-Z3</t>
        </is>
      </c>
      <c r="G220" s="3" t="n">
        <v>5</v>
      </c>
      <c r="H220" s="6" t="inlineStr">
        <is>
          <t>Objectif : endurance aérobie active, allure progressive (70 → 80% FC max)
12' à 70-72% FC max (136-140 bpm)
12' à 74-77% (144-149 bpm)
13' à 78-80% (151-155 bpm)
(un seul bloc continu, la progression se fait à la FC)</t>
        </is>
      </c>
      <c r="I220" s="3" t="n">
        <v>6.5</v>
      </c>
      <c r="J220" s="3" t="n"/>
      <c r="K220" s="3" t="n"/>
    </row>
    <row r="221" ht="15" customHeight="1" s="159">
      <c r="A221" s="175" t="n">
        <v>46388</v>
      </c>
      <c r="B221" s="3" t="inlineStr">
        <is>
          <t>Vendredi</t>
        </is>
      </c>
      <c r="C221" s="4" t="inlineStr">
        <is>
          <t>Repos</t>
        </is>
      </c>
      <c r="D221" s="5" t="inlineStr">
        <is>
          <t>OFF — Nouvel An</t>
        </is>
      </c>
      <c r="E221" s="3" t="inlineStr">
        <is>
          <t>-</t>
        </is>
      </c>
      <c r="F221" s="5" t="inlineStr">
        <is>
          <t>-</t>
        </is>
      </c>
      <c r="G221" s="3" t="n">
        <v>1</v>
      </c>
      <c r="H221" s="6" t="inlineStr">
        <is>
          <t>Repos complet</t>
        </is>
      </c>
      <c r="I221" s="3" t="n"/>
      <c r="J221" s="3" t="n"/>
      <c r="K221" s="3" t="n"/>
    </row>
    <row r="222" ht="84" customHeight="1" s="159">
      <c r="A222" s="175" t="n">
        <v>46389</v>
      </c>
      <c r="B222" s="3" t="inlineStr">
        <is>
          <t>Samedi</t>
        </is>
      </c>
      <c r="C222" s="9" t="inlineStr">
        <is>
          <t>Natation</t>
        </is>
      </c>
      <c r="D222" s="5" t="inlineStr">
        <is>
          <t>Natation technique + bloc IM</t>
        </is>
      </c>
      <c r="E222" s="3" t="n">
        <v>99</v>
      </c>
      <c r="F222" s="5" t="inlineStr">
        <is>
          <t>-</t>
        </is>
      </c>
      <c r="G222" s="3" t="n">
        <v>5</v>
      </c>
      <c r="H222" s="6" t="inlineStr">
        <is>
          <t>Échauffement : 4 x 50 m facile (108-117 bpm) — repos 30 s
Éducatifs : 8 x 50 m (catch-up, finger drag, sighting) — repos 30 s
Bloc continu : 1000 m à allure IM, sans arrêt (135-148 bpm, 2:13/100 m) — sighting toutes les 6-8 cycles de bras
Pull buoy : 17 x 100 m (135-148 bpm, 2:10/100 m) — repos 30 s
Retour au calme : 200 m souple (110-126 bpm)
Total : 3500 m</t>
        </is>
      </c>
      <c r="I222" s="3" t="n"/>
      <c r="J222" s="3" t="n"/>
      <c r="K222" s="3" t="n">
        <v>3500</v>
      </c>
    </row>
    <row r="223" ht="36" customHeight="1" s="159">
      <c r="A223" s="175" t="n">
        <v>46389</v>
      </c>
      <c r="B223" s="3" t="inlineStr">
        <is>
          <t>Samedi</t>
        </is>
      </c>
      <c r="C223" s="7" t="inlineStr">
        <is>
          <t>Course</t>
        </is>
      </c>
      <c r="D223" s="5" t="inlineStr">
        <is>
          <t>SORTIE LONGUE Z2 — 117' (19 km)</t>
        </is>
      </c>
      <c r="E223" s="3" t="n">
        <v>117</v>
      </c>
      <c r="F223" s="5" t="inlineStr">
        <is>
          <t>Z2</t>
        </is>
      </c>
      <c r="G223" s="3" t="n">
        <v>6</v>
      </c>
      <c r="H223" s="6" t="inlineStr">
        <is>
          <t>117' Z2 (127-140 bpm) — allure conversationnelle
Gel à 45' et 90'
Semaine à gros volume CAP — bloc spécifique</t>
        </is>
      </c>
      <c r="I223" s="3" t="n">
        <v>19</v>
      </c>
      <c r="J223" s="3" t="n"/>
      <c r="K223" s="3" t="n"/>
    </row>
    <row r="224" ht="24" customHeight="1" s="159">
      <c r="A224" s="175" t="n">
        <v>46389</v>
      </c>
      <c r="B224" s="3" t="inlineStr">
        <is>
          <t>Samedi</t>
        </is>
      </c>
      <c r="C224" s="8" t="inlineStr">
        <is>
          <t>Vélo</t>
        </is>
      </c>
      <c r="D224" s="5" t="inlineStr">
        <is>
          <t>Vélo récupération Z1</t>
        </is>
      </c>
      <c r="E224" s="3" t="n">
        <v>60</v>
      </c>
      <c r="F224" s="5" t="inlineStr">
        <is>
          <t>Z2</t>
        </is>
      </c>
      <c r="G224" s="3" t="n">
        <v>2</v>
      </c>
      <c r="H224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224" s="3" t="n"/>
      <c r="J224" s="3" t="n">
        <v>28</v>
      </c>
      <c r="K224" s="3" t="n"/>
    </row>
    <row r="225" ht="48" customHeight="1" s="159">
      <c r="A225" s="175" t="n">
        <v>46390</v>
      </c>
      <c r="B225" s="3" t="inlineStr">
        <is>
          <t>Dimanche</t>
        </is>
      </c>
      <c r="C225" s="8" t="inlineStr">
        <is>
          <t>Vélo</t>
        </is>
      </c>
      <c r="D225" s="5" t="inlineStr">
        <is>
          <t>Sortie longue — 193' (90.0 km)</t>
        </is>
      </c>
      <c r="E225" s="3" t="n">
        <v>193</v>
      </c>
      <c r="F225" s="5" t="inlineStr">
        <is>
          <t>Z2-Z3</t>
        </is>
      </c>
      <c r="G225" s="3" t="n">
        <v>6</v>
      </c>
      <c r="H225" s="6">
        <f>"193' Z2 (127-140 bpm / "&amp;IF(FTP&gt;0,TEXT(ROUND(FTP*60/500,0)*5,"0"),"?")&amp;"-"&amp;IF(FTP&gt;0,TEXT(ROUND(FTP*70/500,0)*5,"0"),"?")&amp;" W"&amp;")"&amp;CHAR(10)&amp;"Cadence 85-92 rpm"&amp;CHAR(10)&amp;"NUTRITION : 60g glucides/h si &gt;60'"</f>
        <v/>
      </c>
      <c r="I225" s="3" t="n"/>
      <c r="J225" s="3" t="n">
        <v>90</v>
      </c>
      <c r="K225" s="3" t="n"/>
    </row>
    <row r="226" ht="24" customHeight="1" s="159">
      <c r="A226" s="175" t="n">
        <v>46390</v>
      </c>
      <c r="B226" s="3" t="inlineStr">
        <is>
          <t>Dimanche</t>
        </is>
      </c>
      <c r="C226" s="7" t="inlineStr">
        <is>
          <t>Course</t>
        </is>
      </c>
      <c r="D226" s="5" t="inlineStr">
        <is>
          <t>CAP en Brick — 15'</t>
        </is>
      </c>
      <c r="E226" s="3" t="n">
        <v>15</v>
      </c>
      <c r="F226" s="5" t="inlineStr">
        <is>
          <t>Z2-Z3</t>
        </is>
      </c>
      <c r="G226" s="3" t="n">
        <v>4</v>
      </c>
      <c r="H226" s="6" t="inlineStr">
        <is>
          <t>Transition directe après vélo — 15' @ Z2-Z3 (127-155 bpm)
Adaptation transition vélo→CAP</t>
        </is>
      </c>
      <c r="I226" s="3" t="n">
        <v>2.5</v>
      </c>
      <c r="J226" s="3" t="n"/>
      <c r="K226" s="3" t="n"/>
    </row>
    <row r="227" ht="72" customHeight="1" s="159">
      <c r="A227" s="175" t="n">
        <v>46390</v>
      </c>
      <c r="B227" s="3" t="inlineStr">
        <is>
          <t>Dimanche</t>
        </is>
      </c>
      <c r="C227" s="9" t="inlineStr">
        <is>
          <t>Natation</t>
        </is>
      </c>
      <c r="D227" s="5" t="inlineStr">
        <is>
          <t>Natation endurance</t>
        </is>
      </c>
      <c r="E227" s="3" t="n">
        <v>67</v>
      </c>
      <c r="F227" s="5" t="inlineStr">
        <is>
          <t>-</t>
        </is>
      </c>
      <c r="G227" s="3" t="n">
        <v>4</v>
      </c>
      <c r="H227" s="6" t="inlineStr">
        <is>
          <t>Échauffement : 200 m souple (110-126 bpm, 2:27/100 m)
Série principale : 5 x 400 m à allure soutenue (135-148 bpm, 2:10/100 m) — repos 30 s + 200 m à la suite, même allure
Retour au calme : 200 m souple (110-126 bpm)
Consigne : allure constante sur chaque répétition ; sighting toutes les 6-8 cycles de bras
Total : 2600 m</t>
        </is>
      </c>
      <c r="I227" s="3" t="n"/>
      <c r="J227" s="3" t="n"/>
      <c r="K227" s="3" t="n">
        <v>2600</v>
      </c>
    </row>
    <row r="228" ht="15" customHeight="1" s="159">
      <c r="A228" s="10" t="n"/>
      <c r="B228" s="10" t="n"/>
      <c r="C228" s="10" t="n"/>
      <c r="D228" s="10" t="n"/>
      <c r="E228" s="10" t="n"/>
      <c r="F228" s="10" t="n"/>
      <c r="G228" s="10" t="n"/>
      <c r="H228" s="11" t="inlineStr">
        <is>
          <t>TOTAL SEMAINE</t>
        </is>
      </c>
      <c r="I228" s="10">
        <f>SUM(I216:I227)</f>
        <v/>
      </c>
      <c r="J228" s="10">
        <f>SUM(J216:J227)</f>
        <v/>
      </c>
      <c r="K228" s="10">
        <f>SUM(K216:K227)</f>
        <v/>
      </c>
    </row>
    <row r="229" ht="15" customHeight="1" s="159">
      <c r="A229" s="146" t="inlineStr">
        <is>
          <t xml:space="preserve">  S19 — 04/01/2027 → 10/01/2027   |     Phase 3 — Pré-IM</t>
        </is>
      </c>
    </row>
    <row r="230" ht="48" customHeight="1" s="159">
      <c r="A230" s="175" t="n">
        <v>46391</v>
      </c>
      <c r="B230" s="3" t="inlineStr">
        <is>
          <t>Lundi</t>
        </is>
      </c>
      <c r="C230" s="4" t="inlineStr">
        <is>
          <t>Repos</t>
        </is>
      </c>
      <c r="D230" s="5" t="inlineStr">
        <is>
          <t>OFF</t>
        </is>
      </c>
      <c r="E230" s="3" t="inlineStr">
        <is>
          <t>-</t>
        </is>
      </c>
      <c r="F230" s="5" t="inlineStr">
        <is>
          <t>-</t>
        </is>
      </c>
      <c r="G230" s="3" t="n">
        <v>1</v>
      </c>
      <c r="H230" s="6" t="inlineStr">
        <is>
          <t>Repos complet</t>
        </is>
      </c>
      <c r="I230" s="3" t="n"/>
      <c r="J230" s="3" t="n"/>
      <c r="K230" s="3" t="n"/>
    </row>
    <row r="231" ht="168" customHeight="1" s="159">
      <c r="A231" s="175" t="n">
        <v>46392</v>
      </c>
      <c r="B231" s="3" t="inlineStr">
        <is>
          <t>Mardi</t>
        </is>
      </c>
      <c r="C231" s="7" t="inlineStr">
        <is>
          <t>Course</t>
        </is>
      </c>
      <c r="D231" s="5" t="inlineStr">
        <is>
          <t>Qualité — 2x(9' + 5') @ 83/87%</t>
        </is>
      </c>
      <c r="E231" s="3" t="n">
        <v>60</v>
      </c>
      <c r="F231" s="5" t="inlineStr">
        <is>
          <t>Z3-Z4</t>
        </is>
      </c>
      <c r="G231" s="3" t="n">
        <v>7</v>
      </c>
      <c r="H231" s="6" t="inlineStr">
        <is>
          <t>Objectif : seuil, allure marathon vers semi
16' EF Z2 (127-140 bpm)
2 x [9' à 83% FC max (161 bpm) — 1'30 de repos — 5' à 87% (169 bpm)]
3'30 de repos entre séries
10' EF Z2 (127-140 bpm)</t>
        </is>
      </c>
      <c r="I231" s="3" t="n">
        <v>10.5</v>
      </c>
      <c r="J231" s="3" t="n"/>
      <c r="K231" s="3" t="n"/>
    </row>
    <row r="232" ht="24" customHeight="1" s="159">
      <c r="A232" s="175" t="n">
        <v>46392</v>
      </c>
      <c r="B232" s="3" t="inlineStr">
        <is>
          <t>Mardi</t>
        </is>
      </c>
      <c r="C232" s="8" t="inlineStr">
        <is>
          <t>Vélo</t>
        </is>
      </c>
      <c r="D232" s="5" t="inlineStr">
        <is>
          <t>Vélo récupération Z1</t>
        </is>
      </c>
      <c r="E232" s="3" t="n">
        <v>51</v>
      </c>
      <c r="F232" s="5" t="inlineStr">
        <is>
          <t>Z2</t>
        </is>
      </c>
      <c r="G232" s="3" t="n">
        <v>2</v>
      </c>
      <c r="H232" s="6">
        <f>"51' Z1 très facile (&lt; 127 bpm / "&amp;IF(FTP&gt;0,TEXT(ROUND(FTP*50/500,0)*5,"0"),"?")&amp;"-"&amp;IF(FTP&gt;0,TEXT(ROUND(FTP*55/500,0)*5,"0"),"?")&amp;" W"&amp;") — récupération active"&amp;CHAR(10)&amp;"Cadence souple 85-90 rpm"</f>
        <v/>
      </c>
      <c r="I232" s="3" t="n"/>
      <c r="J232" s="3" t="n">
        <v>24</v>
      </c>
      <c r="K232" s="3" t="n"/>
    </row>
    <row r="233" ht="60" customHeight="1" s="159">
      <c r="A233" s="175" t="n">
        <v>46393</v>
      </c>
      <c r="B233" s="3" t="inlineStr">
        <is>
          <t>Mercredi</t>
        </is>
      </c>
      <c r="C233" s="8" t="inlineStr">
        <is>
          <t>Vélo</t>
        </is>
      </c>
      <c r="D233" s="5" t="inlineStr">
        <is>
          <t>Vélo clé — 2x28' @ 90% FTP — r=5'</t>
        </is>
      </c>
      <c r="E233" s="3" t="n">
        <v>124</v>
      </c>
      <c r="F233" s="5" t="inlineStr">
        <is>
          <t>Z3</t>
        </is>
      </c>
      <c r="G233" s="3" t="n">
        <v>6</v>
      </c>
      <c r="H233" s="6">
        <f>"53' EF Z2 (127-140 bpm / "&amp;IF(FTP&gt;0,TEXT(ROUND(FTP*60/500,0)*5,"0"),"?")&amp;"-"&amp;IF(FTP&gt;0,TEXT(ROUND(FTP*70/500,0)*5,"0"),"?")&amp;" W"&amp;") | 2x28' @ 90% FTP ("&amp;IF(FTP&gt;0,TEXT(ROUND(FTP*90/500,0)*5,"0"),"?")&amp;" W"&amp;") — r=5'"&amp;CHAR(10)&amp;"Objectif : travailler juste sous le seuil lactique (sweet spot)"&amp;CHAR(10)&amp;"FC bloc cible : ~163 bpm (84% FC max = ton seuil lactique) | Cadence : 87-93 rpm | RPE 6-7/10"&amp;CHAR(10)&amp;"NUTRITION : 70g glucides/h si &gt;90'"&amp;CHAR(10)&amp;"10' RC (127-140 bpm / "&amp;IF(FTP&gt;0,TEXT(ROUND(FTP*60/500,0)*5,"0"),"?")&amp;"-"&amp;IF(FTP&gt;0,TEXT(ROUND(FTP*70/500,0)*5,"0"),"?")&amp;" W"&amp;")"</f>
        <v/>
      </c>
      <c r="I233" s="3" t="n"/>
      <c r="J233" s="3" t="n">
        <v>58</v>
      </c>
      <c r="K233" s="3" t="n"/>
    </row>
    <row r="234" ht="24" customHeight="1" s="159">
      <c r="A234" s="175" t="n">
        <v>46394</v>
      </c>
      <c r="B234" s="3" t="inlineStr">
        <is>
          <t>Jeudi</t>
        </is>
      </c>
      <c r="C234" s="7" t="inlineStr">
        <is>
          <t>Course</t>
        </is>
      </c>
      <c r="D234" s="5" t="inlineStr">
        <is>
          <t>EF Z2</t>
        </is>
      </c>
      <c r="E234" s="3" t="n">
        <v>62</v>
      </c>
      <c r="F234" s="5" t="inlineStr">
        <is>
          <t>Z2</t>
        </is>
      </c>
      <c r="G234" s="3" t="n">
        <v>4</v>
      </c>
      <c r="H234" s="6" t="inlineStr">
        <is>
          <t>62' EF Z2 (127-140 bpm)
Allure facile, cadence naturelle</t>
        </is>
      </c>
      <c r="I234" s="3" t="n">
        <v>10</v>
      </c>
      <c r="J234" s="3" t="n"/>
      <c r="K234" s="3" t="n"/>
    </row>
    <row r="235" ht="156" customHeight="1" s="159">
      <c r="A235" s="175" t="n">
        <v>46394</v>
      </c>
      <c r="B235" s="3" t="inlineStr">
        <is>
          <t>Jeudi</t>
        </is>
      </c>
      <c r="C235" s="9" t="inlineStr">
        <is>
          <t>Natation</t>
        </is>
      </c>
      <c r="D235" s="5" t="inlineStr">
        <is>
          <t>Natation test CSS 400/200</t>
        </is>
      </c>
      <c r="E235" s="3" t="n">
        <v>73</v>
      </c>
      <c r="F235" s="5" t="inlineStr">
        <is>
          <t>-</t>
        </is>
      </c>
      <c r="G235" s="3" t="n">
        <v>7</v>
      </c>
      <c r="H235" s="6" t="inlineStr">
        <is>
          <t>Échauffement : 200 m souple (110-126 bpm, 2:25/100 m) puis 8 x 50 m progressif (du souple au soutenu) — repos 15 s
Test 1 : 400 m à fond, chrono à noter — puis 200 m très souple
Test 2 : 200 m à fond, chrono à noter
Série soutenue : 9 x 100 m à allure soutenue (135-148 bpm, 2:08/100 m) — repos 15 s + 50 m souple
Retour au calme : 200 m souple (110-126 bpm)
Calcul : allure CSS /100 m = (chrono 400 m − chrono 200 m) ÷ 2 ; relève aussi ta FC moyenne sur le 400 m : c'est ta zone seuil natation réelle (à ± 5 bpm) ; CSS prévue cette semaine : 2:05/100 m
Recalage : allure IM = CSS + 6 s ; soutenu = CSS + 3 s ; seuil = CSS ; souple = CSS + 20 s — décale les allures du fichier du même écart
Total : 2550 m</t>
        </is>
      </c>
      <c r="I235" s="3" t="n"/>
      <c r="J235" s="3" t="n"/>
      <c r="K235" s="3" t="n">
        <v>2550</v>
      </c>
    </row>
    <row r="236" ht="24" customHeight="1" s="159">
      <c r="A236" s="175" t="n">
        <v>46395</v>
      </c>
      <c r="B236" s="3" t="inlineStr">
        <is>
          <t>Vendredi</t>
        </is>
      </c>
      <c r="C236" s="7" t="inlineStr">
        <is>
          <t>Course</t>
        </is>
      </c>
      <c r="D236" s="5" t="inlineStr">
        <is>
          <t>EF Z2 — court</t>
        </is>
      </c>
      <c r="E236" s="3" t="n">
        <v>33</v>
      </c>
      <c r="F236" s="5" t="inlineStr">
        <is>
          <t>Z1-Z2</t>
        </is>
      </c>
      <c r="G236" s="3" t="n">
        <v>2</v>
      </c>
      <c r="H236" s="6" t="inlineStr">
        <is>
          <t>33' EF Z1-Z2 (120-135 bpm) — COURT
Vraie récup — pas de strides</t>
        </is>
      </c>
      <c r="I236" s="3" t="n">
        <v>5</v>
      </c>
      <c r="J236" s="3" t="n"/>
      <c r="K236" s="3" t="n"/>
    </row>
    <row r="237" ht="60" customHeight="1" s="159">
      <c r="A237" s="175" t="n">
        <v>46395</v>
      </c>
      <c r="B237" s="3" t="inlineStr">
        <is>
          <t>Vendredi</t>
        </is>
      </c>
      <c r="C237" s="8" t="inlineStr">
        <is>
          <t>Vélo</t>
        </is>
      </c>
      <c r="D237" s="5" t="inlineStr">
        <is>
          <t>Force spécifique</t>
        </is>
      </c>
      <c r="E237" s="3" t="n">
        <v>103</v>
      </c>
      <c r="F237" s="5" t="inlineStr">
        <is>
          <t>Z2-Z3</t>
        </is>
      </c>
      <c r="G237" s="3" t="n">
        <v>5</v>
      </c>
      <c r="H237" s="6">
        <f>"61' EF (127-140 bpm / "&amp;IF(FTP&gt;0,TEXT(ROUND(FTP*60/500,0)*5,"0"),"?")&amp;"-"&amp;IF(FTP&gt;0,TEXT(ROUND(FTP*70/500,0)*5,"0"),"?")&amp;" W"&amp;") | 5x4'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70g glucides/h si &gt;90'"&amp;CHAR(10)&amp;"10' RC (127-140 bpm / "&amp;IF(FTP&gt;0,TEXT(ROUND(FTP*60/500,0)*5,"0"),"?")&amp;"-"&amp;IF(FTP&gt;0,TEXT(ROUND(FTP*70/500,0)*5,"0"),"?")&amp;" W"&amp;")"</f>
        <v/>
      </c>
      <c r="I237" s="3" t="n"/>
      <c r="J237" s="3" t="n">
        <v>48</v>
      </c>
      <c r="K237" s="3" t="n"/>
    </row>
    <row r="238" ht="84" customHeight="1" s="159">
      <c r="A238" s="175" t="n">
        <v>46396</v>
      </c>
      <c r="B238" s="3" t="inlineStr">
        <is>
          <t>Samedi</t>
        </is>
      </c>
      <c r="C238" s="9" t="inlineStr">
        <is>
          <t>Natation</t>
        </is>
      </c>
      <c r="D238" s="5" t="inlineStr">
        <is>
          <t>Natation technique + bloc IM</t>
        </is>
      </c>
      <c r="E238" s="3" t="n">
        <v>99</v>
      </c>
      <c r="F238" s="5" t="inlineStr">
        <is>
          <t>-</t>
        </is>
      </c>
      <c r="G238" s="3" t="n">
        <v>5</v>
      </c>
      <c r="H238" s="6" t="inlineStr">
        <is>
          <t>Échauffement : 4 x 50 m facile (108-117 bpm) — repos 30 s
Éducatifs : 8 x 50 m (catch-up, finger drag, sighting) — repos 30 s
Bloc continu : 1200 m à allure IM, sans arrêt (135-148 bpm, 2:11/100 m) — sighting toutes les 6-8 cycles de bras
Pull buoy : 16 x 100 m (135-148 bpm, 2:08/100 m) — repos 30 s + 50 m à la suite
Retour au calme : 200 m souple (110-126 bpm)
Total : 3650 m</t>
        </is>
      </c>
      <c r="I238" s="3" t="n"/>
      <c r="J238" s="3" t="n"/>
      <c r="K238" s="3" t="n">
        <v>3650</v>
      </c>
    </row>
    <row r="239" ht="36" customHeight="1" s="159">
      <c r="A239" s="175" t="n">
        <v>46396</v>
      </c>
      <c r="B239" s="3" t="inlineStr">
        <is>
          <t>Samedi</t>
        </is>
      </c>
      <c r="C239" s="7" t="inlineStr">
        <is>
          <t>Course</t>
        </is>
      </c>
      <c r="D239" s="5" t="inlineStr">
        <is>
          <t>SORTIE LONGUE Z2 + fin allure IM — 117' (19 km)</t>
        </is>
      </c>
      <c r="E239" s="3" t="n">
        <v>117</v>
      </c>
      <c r="F239" s="5" t="inlineStr">
        <is>
          <t>Z2-Z3</t>
        </is>
      </c>
      <c r="G239" s="3" t="n">
        <v>6</v>
      </c>
      <c r="H239" s="6" t="inlineStr">
        <is>
          <t>107' Z2 (127-140 bpm) | 8' allure IM (150-155 bpm) | 2' RC
FC &lt; 141 bpm sur 85% du temps
Nutrition : gel à 45' et 90'</t>
        </is>
      </c>
      <c r="I239" s="3" t="n">
        <v>19</v>
      </c>
      <c r="J239" s="3" t="n"/>
      <c r="K239" s="3" t="n"/>
    </row>
    <row r="240" ht="36" customHeight="1" s="159">
      <c r="A240" s="175" t="n">
        <v>46397</v>
      </c>
      <c r="B240" s="3" t="inlineStr">
        <is>
          <t>Dimanche</t>
        </is>
      </c>
      <c r="C240" s="8" t="inlineStr">
        <is>
          <t>Vélo</t>
        </is>
      </c>
      <c r="D240" s="5" t="inlineStr">
        <is>
          <t>Sortie longue — 257' (120.0 km)</t>
        </is>
      </c>
      <c r="E240" s="3" t="n">
        <v>257</v>
      </c>
      <c r="F240" s="5" t="inlineStr">
        <is>
          <t>Z2-Z3</t>
        </is>
      </c>
      <c r="G240" s="3" t="n">
        <v>6</v>
      </c>
      <c r="H240" s="6">
        <f>"257' Z2 (127-140 bpm / "&amp;IF(FTP&gt;0,TEXT(ROUND(FTP*60/500,0)*5,"0"),"?")&amp;"-"&amp;IF(FTP&gt;0,TEXT(ROUND(FTP*70/500,0)*5,"0"),"?")&amp;" W"&amp;")"&amp;CHAR(10)&amp;"Cadence 85-92 rpm"&amp;CHAR(10)&amp;"NUTRITION : 70g glucides/h si &gt;60'"</f>
        <v/>
      </c>
      <c r="I240" s="3" t="n"/>
      <c r="J240" s="3" t="n">
        <v>120</v>
      </c>
      <c r="K240" s="3" t="n"/>
    </row>
    <row r="241" ht="24" customHeight="1" s="159">
      <c r="A241" s="175" t="n">
        <v>46397</v>
      </c>
      <c r="B241" s="3" t="inlineStr">
        <is>
          <t>Dimanche</t>
        </is>
      </c>
      <c r="C241" s="7" t="inlineStr">
        <is>
          <t>Course</t>
        </is>
      </c>
      <c r="D241" s="5" t="inlineStr">
        <is>
          <t>CAP en Brick — 15'</t>
        </is>
      </c>
      <c r="E241" s="3" t="n">
        <v>15</v>
      </c>
      <c r="F241" s="5" t="inlineStr">
        <is>
          <t>Z2-Z3</t>
        </is>
      </c>
      <c r="G241" s="3" t="n">
        <v>4</v>
      </c>
      <c r="H241" s="6" t="inlineStr">
        <is>
          <t>Transition directe après vélo — 15' @ Z2-Z3 (127-155 bpm)
Adaptation transition vélo→CAP</t>
        </is>
      </c>
      <c r="I241" s="3" t="n">
        <v>2.5</v>
      </c>
      <c r="J241" s="3" t="n"/>
      <c r="K241" s="3" t="n"/>
    </row>
    <row r="242" ht="60" customHeight="1" s="159">
      <c r="A242" s="175" t="n">
        <v>46397</v>
      </c>
      <c r="B242" s="3" t="inlineStr">
        <is>
          <t>Dimanche</t>
        </is>
      </c>
      <c r="C242" s="9" t="inlineStr">
        <is>
          <t>Natation</t>
        </is>
      </c>
      <c r="D242" s="5" t="inlineStr">
        <is>
          <t>Natation récupération</t>
        </is>
      </c>
      <c r="E242" s="3" t="n">
        <v>69</v>
      </c>
      <c r="F242" s="5" t="inlineStr">
        <is>
          <t>-</t>
        </is>
      </c>
      <c r="G242" s="3" t="n">
        <v>2</v>
      </c>
      <c r="H242" s="6" t="inlineStr">
        <is>
          <t>Échauffement : 200 m souple (110-126 bpm)
Série : 20 x 100 m technique, nage relâchée (110-120 bpm) — repos 30 s + 50 m souple
Retour au calme : 50 m souple
Consigne : séance de récupération : relâchement, amplitude, aucune recherche de vitesse
Total : 2300 m</t>
        </is>
      </c>
      <c r="I242" s="3" t="n"/>
      <c r="J242" s="3" t="n"/>
      <c r="K242" s="3" t="n">
        <v>2300</v>
      </c>
    </row>
    <row r="243" ht="15" customHeight="1" s="159">
      <c r="A243" s="10" t="n"/>
      <c r="B243" s="10" t="n"/>
      <c r="C243" s="10" t="n"/>
      <c r="D243" s="10" t="n"/>
      <c r="E243" s="10" t="n"/>
      <c r="F243" s="10" t="n"/>
      <c r="G243" s="10" t="n"/>
      <c r="H243" s="11" t="inlineStr">
        <is>
          <t>TOTAL SEMAINE</t>
        </is>
      </c>
      <c r="I243" s="10">
        <f>SUM(I230:I242)</f>
        <v/>
      </c>
      <c r="J243" s="10">
        <f>SUM(J230:J242)</f>
        <v/>
      </c>
      <c r="K243" s="10">
        <f>SUM(K230:K242)</f>
        <v/>
      </c>
    </row>
    <row r="244" ht="15" customHeight="1" s="159">
      <c r="A244" s="155" t="inlineStr">
        <is>
          <t xml:space="preserve">  S20 — 11/01/2027 → 17/01/2027   |     Phase 3 — Pré-IM</t>
        </is>
      </c>
    </row>
    <row r="245" ht="60" customHeight="1" s="159">
      <c r="A245" s="175" t="n">
        <v>46398</v>
      </c>
      <c r="B245" s="13" t="inlineStr">
        <is>
          <t>Lundi</t>
        </is>
      </c>
      <c r="C245" s="13" t="inlineStr">
        <is>
          <t>Repos</t>
        </is>
      </c>
      <c r="D245" s="13" t="inlineStr">
        <is>
          <t>OFF</t>
        </is>
      </c>
      <c r="E245" s="13" t="inlineStr">
        <is>
          <t>-</t>
        </is>
      </c>
      <c r="F245" s="13" t="inlineStr">
        <is>
          <t>-</t>
        </is>
      </c>
      <c r="G245" s="13" t="n">
        <v>1</v>
      </c>
      <c r="H245" s="13" t="inlineStr">
        <is>
          <t>Repos complet</t>
        </is>
      </c>
      <c r="I245" s="13" t="n"/>
      <c r="J245" s="13" t="n"/>
      <c r="K245" s="13" t="n"/>
    </row>
    <row r="246" ht="144" customHeight="1" s="159">
      <c r="A246" s="175" t="n">
        <v>46399</v>
      </c>
      <c r="B246" s="3" t="inlineStr">
        <is>
          <t>Mardi</t>
        </is>
      </c>
      <c r="C246" s="7" t="inlineStr">
        <is>
          <t>Course</t>
        </is>
      </c>
      <c r="D246" s="5" t="inlineStr">
        <is>
          <t>Qualité — 20-15-10 (SV1 / SV1+ / Allure IM)</t>
        </is>
      </c>
      <c r="E246" s="3" t="n">
        <v>65</v>
      </c>
      <c r="F246" s="5" t="inlineStr">
        <is>
          <t>Z3</t>
        </is>
      </c>
      <c r="G246" s="3" t="n">
        <v>6</v>
      </c>
      <c r="H246" s="6" t="inlineStr">
        <is>
          <t>Objectif : durabilité : finir à l'allure IM après SV1 → SV1+ — répéter le ravitaillement : 30 g de glucides
8' EF Z2 (127-140 bpm)
20' SV1 (155-165 bpm)
3' de repos
15' SV1+ (165-171 bpm)
3' de repos
10' Allure IM (150-155 bpm)
6' EF Z2 (127-140 bpm)</t>
        </is>
      </c>
      <c r="I246" s="3" t="n">
        <v>11</v>
      </c>
      <c r="J246" s="3" t="n"/>
      <c r="K246" s="3" t="n"/>
    </row>
    <row r="247" ht="24" customHeight="1" s="159">
      <c r="A247" s="175" t="n">
        <v>46399</v>
      </c>
      <c r="B247" s="3" t="inlineStr">
        <is>
          <t>Mardi</t>
        </is>
      </c>
      <c r="C247" s="8" t="inlineStr">
        <is>
          <t>Vélo</t>
        </is>
      </c>
      <c r="D247" s="5" t="inlineStr">
        <is>
          <t>Vélo récupération Z1</t>
        </is>
      </c>
      <c r="E247" s="3" t="n">
        <v>51</v>
      </c>
      <c r="F247" s="5" t="inlineStr">
        <is>
          <t>Z2</t>
        </is>
      </c>
      <c r="G247" s="3" t="n">
        <v>2</v>
      </c>
      <c r="H247" s="6">
        <f>"51' Z1 très facile (&lt; 127 bpm / "&amp;IF(FTP&gt;0,TEXT(ROUND(FTP*50/500,0)*5,"0"),"?")&amp;"-"&amp;IF(FTP&gt;0,TEXT(ROUND(FTP*55/500,0)*5,"0"),"?")&amp;" W"&amp;") — récupération active"&amp;CHAR(10)&amp;"Cadence souple 85-90 rpm"</f>
        <v/>
      </c>
      <c r="I247" s="3" t="n"/>
      <c r="J247" s="3" t="n">
        <v>24</v>
      </c>
      <c r="K247" s="3" t="n"/>
    </row>
    <row r="248" ht="72" customHeight="1" s="159">
      <c r="A248" s="175" t="n">
        <v>46400</v>
      </c>
      <c r="B248" s="3" t="inlineStr">
        <is>
          <t>Mercredi</t>
        </is>
      </c>
      <c r="C248" s="8" t="inlineStr">
        <is>
          <t>Vélo</t>
        </is>
      </c>
      <c r="D248" s="5" t="inlineStr">
        <is>
          <t>Vélo clé — Bloc allure IM 2x30' (136-146 bpm) — r=5'</t>
        </is>
      </c>
      <c r="E248" s="3" t="n">
        <v>131</v>
      </c>
      <c r="F248" s="5" t="inlineStr">
        <is>
          <t>Z2-Z3</t>
        </is>
      </c>
      <c r="G248" s="3" t="n">
        <v>6</v>
      </c>
      <c r="H248" s="6">
        <f>"56' EF Z2 (127-140 bpm / "&amp;IF(FTP&gt;0,TEXT(ROUND(FTP*60/500,0)*5,"0"),"?")&amp;"-"&amp;IF(FTP&gt;0,TEXT(ROUND(FTP*70/500,0)*5,"0"),"?")&amp;" W"&amp;") | 2x30' allure IM (136-146 bpm, 70-75% FC max / "&amp;IF(FTP&gt;0,TEXT(ROUND(FTP*70/500,0)*5,"0"),"?")&amp;"-"&amp;IF(FTP&gt;0,TEXT(ROUND(FTP*75/500,0)*5,"0"),"?")&amp;" W"&amp;") — r=5'"&amp;CHAR(10)&amp;"Objectif : spécificité Ironman : rouler à l'effort de course et répéter le ravitaillement"&amp;CHAR(10)&amp;"FC bloc cible : 136-146 bpm (70-75% FC max) | Cadence : 85-92 rpm | RPE 5-6/10"&amp;CHAR(10)&amp;"NUTRITION : 70g glucides/h si &gt;90'"&amp;CHAR(10)&amp;"10' RC (127-140 bpm / "&amp;IF(FTP&gt;0,TEXT(ROUND(FTP*60/500,0)*5,"0"),"?")&amp;"-"&amp;IF(FTP&gt;0,TEXT(ROUND(FTP*70/500,0)*5,"0"),"?")&amp;" W"&amp;")"</f>
        <v/>
      </c>
      <c r="I248" s="3" t="n"/>
      <c r="J248" s="3" t="n">
        <v>61</v>
      </c>
      <c r="K248" s="3" t="n"/>
    </row>
    <row r="249" ht="24" customHeight="1" s="159">
      <c r="A249" s="175" t="n">
        <v>46401</v>
      </c>
      <c r="B249" s="3" t="inlineStr">
        <is>
          <t>Jeudi</t>
        </is>
      </c>
      <c r="C249" s="7" t="inlineStr">
        <is>
          <t>Course</t>
        </is>
      </c>
      <c r="D249" s="5" t="inlineStr">
        <is>
          <t>EF Z2</t>
        </is>
      </c>
      <c r="E249" s="3" t="n">
        <v>65</v>
      </c>
      <c r="F249" s="5" t="inlineStr">
        <is>
          <t>Z2</t>
        </is>
      </c>
      <c r="G249" s="3" t="n">
        <v>4</v>
      </c>
      <c r="H249" s="6" t="inlineStr">
        <is>
          <t>65' EF Z2 (127-140 bpm)
Allure facile, cadence naturelle</t>
        </is>
      </c>
      <c r="I249" s="3" t="n">
        <v>10.5</v>
      </c>
      <c r="J249" s="3" t="n"/>
      <c r="K249" s="3" t="n"/>
    </row>
    <row r="250" ht="72" customHeight="1" s="159">
      <c r="A250" s="175" t="n">
        <v>46401</v>
      </c>
      <c r="B250" s="3" t="inlineStr">
        <is>
          <t>Jeudi</t>
        </is>
      </c>
      <c r="C250" s="9" t="inlineStr">
        <is>
          <t>Natation</t>
        </is>
      </c>
      <c r="D250" s="5" t="inlineStr">
        <is>
          <t>Natation endurance</t>
        </is>
      </c>
      <c r="E250" s="3" t="n">
        <v>66</v>
      </c>
      <c r="F250" s="5" t="inlineStr">
        <is>
          <t>-</t>
        </is>
      </c>
      <c r="G250" s="3" t="n">
        <v>4</v>
      </c>
      <c r="H250" s="6" t="inlineStr">
        <is>
          <t>Échauffement : 200 m souple (110-126 bpm, 2:25/100 m)
Série principale : 7 x 300 m à allure soutenue (135-148 bpm, 2:08/100 m) — repos 20 s + 100 m à la suite, même allure
Retour au calme : 200 m souple (110-126 bpm)
Consigne : allure constante sur chaque répétition ; sighting toutes les 6-8 cycles de bras
Total : 2600 m</t>
        </is>
      </c>
      <c r="I250" s="3" t="n"/>
      <c r="J250" s="3" t="n"/>
      <c r="K250" s="3" t="n">
        <v>2600</v>
      </c>
    </row>
    <row r="251" ht="24" customHeight="1" s="159">
      <c r="A251" s="175" t="n">
        <v>46402</v>
      </c>
      <c r="B251" s="3" t="inlineStr">
        <is>
          <t>Vendredi</t>
        </is>
      </c>
      <c r="C251" s="7" t="inlineStr">
        <is>
          <t>Course</t>
        </is>
      </c>
      <c r="D251" s="5" t="inlineStr">
        <is>
          <t>EF Z2 — court</t>
        </is>
      </c>
      <c r="E251" s="3" t="n">
        <v>33</v>
      </c>
      <c r="F251" s="5" t="inlineStr">
        <is>
          <t>Z1-Z2</t>
        </is>
      </c>
      <c r="G251" s="3" t="n">
        <v>2</v>
      </c>
      <c r="H251" s="6" t="inlineStr">
        <is>
          <t>33' EF Z1-Z2 (120-135 bpm) — COURT
Vraie récup — pas de strides</t>
        </is>
      </c>
      <c r="I251" s="3" t="n">
        <v>5</v>
      </c>
      <c r="J251" s="3" t="n"/>
      <c r="K251" s="3" t="n"/>
    </row>
    <row r="252" ht="60" customHeight="1" s="159">
      <c r="A252" s="175" t="n">
        <v>46402</v>
      </c>
      <c r="B252" s="3" t="inlineStr">
        <is>
          <t>Vendredi</t>
        </is>
      </c>
      <c r="C252" s="8" t="inlineStr">
        <is>
          <t>Vélo</t>
        </is>
      </c>
      <c r="D252" s="5" t="inlineStr">
        <is>
          <t>Force spécifique</t>
        </is>
      </c>
      <c r="E252" s="3" t="n">
        <v>107</v>
      </c>
      <c r="F252" s="5" t="inlineStr">
        <is>
          <t>Z2-Z3</t>
        </is>
      </c>
      <c r="G252" s="3" t="n">
        <v>5</v>
      </c>
      <c r="H252" s="6">
        <f>"65' EF (127-140 bpm / "&amp;IF(FTP&gt;0,TEXT(ROUND(FTP*60/500,0)*5,"0"),"?")&amp;"-"&amp;IF(FTP&gt;0,TEXT(ROUND(FTP*70/500,0)*5,"0"),"?")&amp;" W"&amp;") | 5x4'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70g glucides/h si &gt;90'"&amp;CHAR(10)&amp;"10' RC (127-140 bpm / "&amp;IF(FTP&gt;0,TEXT(ROUND(FTP*60/500,0)*5,"0"),"?")&amp;"-"&amp;IF(FTP&gt;0,TEXT(ROUND(FTP*70/500,0)*5,"0"),"?")&amp;" W"&amp;")"</f>
        <v/>
      </c>
      <c r="I252" s="3" t="n"/>
      <c r="J252" s="3" t="n">
        <v>50</v>
      </c>
      <c r="K252" s="3" t="n"/>
    </row>
    <row r="253" ht="84" customHeight="1" s="159">
      <c r="A253" s="175" t="n">
        <v>46403</v>
      </c>
      <c r="B253" s="3" t="inlineStr">
        <is>
          <t>Samedi</t>
        </is>
      </c>
      <c r="C253" s="9" t="inlineStr">
        <is>
          <t>Natation</t>
        </is>
      </c>
      <c r="D253" s="5" t="inlineStr">
        <is>
          <t>Natation technique + bloc IM</t>
        </is>
      </c>
      <c r="E253" s="3" t="n">
        <v>101</v>
      </c>
      <c r="F253" s="5" t="inlineStr">
        <is>
          <t>-</t>
        </is>
      </c>
      <c r="G253" s="3" t="n">
        <v>5</v>
      </c>
      <c r="H253" s="6" t="inlineStr">
        <is>
          <t>Échauffement : 4 x 50 m facile (108-117 bpm) — repos 30 s
Éducatifs : 8 x 50 m (catch-up, finger drag, sighting) — repos 30 s
Bloc continu : 1400 m à allure IM, sans arrêt (135-148 bpm, 2:11/100 m) — sighting toutes les 6-8 cycles de bras
Pull buoy : 15 x 100 m (135-148 bpm, 2:08/100 m) — repos 30 s
Retour au calme : 200 m souple (110-126 bpm)
Total : 3700 m</t>
        </is>
      </c>
      <c r="I253" s="3" t="n"/>
      <c r="J253" s="3" t="n"/>
      <c r="K253" s="3" t="n">
        <v>3700</v>
      </c>
    </row>
    <row r="254" ht="36" customHeight="1" s="159">
      <c r="A254" s="175" t="n">
        <v>46403</v>
      </c>
      <c r="B254" s="3" t="inlineStr">
        <is>
          <t>Samedi</t>
        </is>
      </c>
      <c r="C254" s="7" t="inlineStr">
        <is>
          <t>Course</t>
        </is>
      </c>
      <c r="D254" s="5" t="inlineStr">
        <is>
          <t>SORTIE LONGUE Z2 — 123' (20 km)</t>
        </is>
      </c>
      <c r="E254" s="3" t="n">
        <v>123</v>
      </c>
      <c r="F254" s="5" t="inlineStr">
        <is>
          <t>Z2</t>
        </is>
      </c>
      <c r="G254" s="3" t="n">
        <v>6</v>
      </c>
      <c r="H254" s="6" t="inlineStr">
        <is>
          <t>123' Z2 (127-140 bpm) — allure conversationnelle
Cadence régulière
Gel à 45' et 90'</t>
        </is>
      </c>
      <c r="I254" s="3" t="n">
        <v>20</v>
      </c>
      <c r="J254" s="3" t="n"/>
      <c r="K254" s="3" t="n"/>
    </row>
    <row r="255" ht="36" customHeight="1" s="159">
      <c r="A255" s="175" t="n">
        <v>46404</v>
      </c>
      <c r="B255" s="3" t="inlineStr">
        <is>
          <t>Dimanche</t>
        </is>
      </c>
      <c r="C255" s="8" t="inlineStr">
        <is>
          <t>Vélo</t>
        </is>
      </c>
      <c r="D255" s="5" t="inlineStr">
        <is>
          <t>Sortie longue — 279' (130.0 km)</t>
        </is>
      </c>
      <c r="E255" s="3" t="n">
        <v>279</v>
      </c>
      <c r="F255" s="5" t="inlineStr">
        <is>
          <t>Z2-Z3</t>
        </is>
      </c>
      <c r="G255" s="3" t="n">
        <v>6</v>
      </c>
      <c r="H255" s="6">
        <f>"279' Z2 (127-140 bpm / "&amp;IF(FTP&gt;0,TEXT(ROUND(FTP*60/500,0)*5,"0"),"?")&amp;"-"&amp;IF(FTP&gt;0,TEXT(ROUND(FTP*70/500,0)*5,"0"),"?")&amp;" W"&amp;")"&amp;CHAR(10)&amp;"Cadence 85-92 rpm"&amp;CHAR(10)&amp;"NUTRITION : 70g glucides/h si &gt;60'"</f>
        <v/>
      </c>
      <c r="I255" s="3" t="n"/>
      <c r="J255" s="3" t="n">
        <v>130</v>
      </c>
      <c r="K255" s="3" t="n"/>
    </row>
    <row r="256" ht="24" customHeight="1" s="159">
      <c r="A256" s="175" t="n">
        <v>46404</v>
      </c>
      <c r="B256" s="3" t="inlineStr">
        <is>
          <t>Dimanche</t>
        </is>
      </c>
      <c r="C256" s="7" t="inlineStr">
        <is>
          <t>Course</t>
        </is>
      </c>
      <c r="D256" s="5" t="inlineStr">
        <is>
          <t>CAP en Brick — 20'</t>
        </is>
      </c>
      <c r="E256" s="3" t="n">
        <v>20</v>
      </c>
      <c r="F256" s="5" t="inlineStr">
        <is>
          <t>Z2-Z3</t>
        </is>
      </c>
      <c r="G256" s="3" t="n">
        <v>4</v>
      </c>
      <c r="H256" s="6" t="inlineStr">
        <is>
          <t>Transition directe après vélo — 20' @ Z2-Z3 (127-155 bpm)
Adaptation transition vélo→CAP</t>
        </is>
      </c>
      <c r="I256" s="3" t="n">
        <v>3.5</v>
      </c>
      <c r="J256" s="3" t="n"/>
      <c r="K256" s="3" t="n"/>
    </row>
    <row r="257" ht="60" customHeight="1" s="159">
      <c r="A257" s="175" t="n">
        <v>46404</v>
      </c>
      <c r="B257" s="3" t="inlineStr">
        <is>
          <t>Dimanche</t>
        </is>
      </c>
      <c r="C257" s="9" t="inlineStr">
        <is>
          <t>Natation</t>
        </is>
      </c>
      <c r="D257" s="5" t="inlineStr">
        <is>
          <t>Natation récupération</t>
        </is>
      </c>
      <c r="E257" s="3" t="n">
        <v>70</v>
      </c>
      <c r="F257" s="5" t="inlineStr">
        <is>
          <t>-</t>
        </is>
      </c>
      <c r="G257" s="3" t="n">
        <v>2</v>
      </c>
      <c r="H257" s="6" t="inlineStr">
        <is>
          <t>Échauffement : 200 m souple (110-126 bpm)
Série : 21 x 100 m technique, nage relâchée (110-120 bpm) — repos 30 s
Retour au calme : 50 m souple
Consigne : séance de récupération : relâchement, amplitude, aucune recherche de vitesse
Total : 2350 m</t>
        </is>
      </c>
      <c r="I257" s="3" t="n"/>
      <c r="J257" s="3" t="n"/>
      <c r="K257" s="3" t="n">
        <v>2350</v>
      </c>
    </row>
    <row r="258" ht="15" customHeight="1" s="159">
      <c r="A258" s="10" t="n"/>
      <c r="B258" s="10" t="n"/>
      <c r="C258" s="10" t="n"/>
      <c r="D258" s="10" t="n"/>
      <c r="E258" s="10" t="n"/>
      <c r="F258" s="10" t="n"/>
      <c r="G258" s="10" t="n"/>
      <c r="H258" s="11" t="inlineStr">
        <is>
          <t>TOTAL SEMAINE</t>
        </is>
      </c>
      <c r="I258" s="10">
        <f>SUM(I245:I257)</f>
        <v/>
      </c>
      <c r="J258" s="10">
        <f>SUM(J245:J257)</f>
        <v/>
      </c>
      <c r="K258" s="10">
        <f>SUM(K245:K257)</f>
        <v/>
      </c>
    </row>
    <row r="259" ht="15" customHeight="1" s="159">
      <c r="A259" s="146" t="inlineStr">
        <is>
          <t xml:space="preserve">  S21 — 18/01/2027 → 24/01/2027   |     Phase 3 — Pré-IM</t>
        </is>
      </c>
    </row>
    <row r="260" ht="60" customHeight="1" s="159">
      <c r="A260" s="175" t="n">
        <v>46405</v>
      </c>
      <c r="B260" s="3" t="inlineStr">
        <is>
          <t>Lundi</t>
        </is>
      </c>
      <c r="C260" s="4" t="inlineStr">
        <is>
          <t>Repos</t>
        </is>
      </c>
      <c r="D260" s="5" t="inlineStr">
        <is>
          <t>OFF</t>
        </is>
      </c>
      <c r="E260" s="3" t="inlineStr">
        <is>
          <t>-</t>
        </is>
      </c>
      <c r="F260" s="5" t="inlineStr">
        <is>
          <t>-</t>
        </is>
      </c>
      <c r="G260" s="3" t="n">
        <v>1</v>
      </c>
      <c r="H260" s="6" t="inlineStr">
        <is>
          <t>Repos complet</t>
        </is>
      </c>
      <c r="I260" s="3" t="n"/>
      <c r="J260" s="3" t="n"/>
      <c r="K260" s="3" t="n"/>
    </row>
    <row r="261" ht="168" customHeight="1" s="159">
      <c r="A261" s="175" t="n">
        <v>46406</v>
      </c>
      <c r="B261" s="3" t="inlineStr">
        <is>
          <t>Mardi</t>
        </is>
      </c>
      <c r="C261" s="7" t="inlineStr">
        <is>
          <t>Course</t>
        </is>
      </c>
      <c r="D261" s="5" t="inlineStr">
        <is>
          <t>Qualité — 25-15-10 (SV1 / SV1+ / Allure IM)</t>
        </is>
      </c>
      <c r="E261" s="3" t="n">
        <v>70</v>
      </c>
      <c r="F261" s="5" t="inlineStr">
        <is>
          <t>Z3</t>
        </is>
      </c>
      <c r="G261" s="3" t="n">
        <v>6</v>
      </c>
      <c r="H261" s="6" t="inlineStr">
        <is>
          <t>Objectif : durabilité : finir à l'allure IM après SV1 → SV1+ — répéter le ravitaillement : 30 g de glucides
8' EF Z2 (127-140 bpm)
25' SV1 (155-165 bpm)
3' de repos
15' SV1+ (165-171 bpm)
3' de repos
10' Allure IM (150-155 bpm)
6' EF Z2 (127-140 bpm)</t>
        </is>
      </c>
      <c r="I261" s="3" t="n">
        <v>12</v>
      </c>
      <c r="J261" s="3" t="n"/>
      <c r="K261" s="3" t="n"/>
    </row>
    <row r="262" ht="24" customHeight="1" s="159">
      <c r="A262" s="175" t="n">
        <v>46406</v>
      </c>
      <c r="B262" s="3" t="inlineStr">
        <is>
          <t>Mardi</t>
        </is>
      </c>
      <c r="C262" s="8" t="inlineStr">
        <is>
          <t>Vélo</t>
        </is>
      </c>
      <c r="D262" s="5" t="inlineStr">
        <is>
          <t>Vélo récupération Z1</t>
        </is>
      </c>
      <c r="E262" s="3" t="n">
        <v>54</v>
      </c>
      <c r="F262" s="5" t="inlineStr">
        <is>
          <t>Z2</t>
        </is>
      </c>
      <c r="G262" s="3" t="n">
        <v>2</v>
      </c>
      <c r="H262" s="6">
        <f>"54' Z1 très facile (&lt; 127 bpm / "&amp;IF(FTP&gt;0,TEXT(ROUND(FTP*50/500,0)*5,"0"),"?")&amp;"-"&amp;IF(FTP&gt;0,TEXT(ROUND(FTP*55/500,0)*5,"0"),"?")&amp;" W"&amp;") — récupération active"&amp;CHAR(10)&amp;"Cadence souple 85-90 rpm"</f>
        <v/>
      </c>
      <c r="I262" s="3" t="n"/>
      <c r="J262" s="3" t="n">
        <v>25</v>
      </c>
      <c r="K262" s="3" t="n"/>
    </row>
    <row r="263" ht="60" customHeight="1" s="159">
      <c r="A263" s="175" t="n">
        <v>46407</v>
      </c>
      <c r="B263" s="3" t="inlineStr">
        <is>
          <t>Mercredi</t>
        </is>
      </c>
      <c r="C263" s="8" t="inlineStr">
        <is>
          <t>Vélo</t>
        </is>
      </c>
      <c r="D263" s="5" t="inlineStr">
        <is>
          <t>Vélo clé — 2x30' @ 90% FTP — r=5'</t>
        </is>
      </c>
      <c r="E263" s="3" t="n">
        <v>137</v>
      </c>
      <c r="F263" s="5" t="inlineStr">
        <is>
          <t>Z3</t>
        </is>
      </c>
      <c r="G263" s="3" t="n">
        <v>6</v>
      </c>
      <c r="H263" s="6">
        <f>"62' EF Z2 (127-140 bpm / "&amp;IF(FTP&gt;0,TEXT(ROUND(FTP*60/500,0)*5,"0"),"?")&amp;"-"&amp;IF(FTP&gt;0,TEXT(ROUND(FTP*70/500,0)*5,"0"),"?")&amp;" W"&amp;") | 2x30' @ 90% FTP ("&amp;IF(FTP&gt;0,TEXT(ROUND(FTP*90/500,0)*5,"0"),"?")&amp;" W"&amp;") — r=5'"&amp;CHAR(10)&amp;"Objectif : travailler juste sous le seuil lactique (sweet spot)"&amp;CHAR(10)&amp;"FC bloc cible : ~163 bpm (84% FC max = ton seuil lactique) | Cadence : 87-93 rpm | RPE 6-7/10"&amp;CHAR(10)&amp;"NUTRITION : 70g glucides/h si &gt;90'"&amp;CHAR(10)&amp;"10' RC (127-140 bpm / "&amp;IF(FTP&gt;0,TEXT(ROUND(FTP*60/500,0)*5,"0"),"?")&amp;"-"&amp;IF(FTP&gt;0,TEXT(ROUND(FTP*70/500,0)*5,"0"),"?")&amp;" W"&amp;")"</f>
        <v/>
      </c>
      <c r="I263" s="3" t="n"/>
      <c r="J263" s="3" t="n">
        <v>64</v>
      </c>
      <c r="K263" s="3" t="n"/>
    </row>
    <row r="264" ht="24" customHeight="1" s="159">
      <c r="A264" s="175" t="n">
        <v>46408</v>
      </c>
      <c r="B264" s="3" t="inlineStr">
        <is>
          <t>Jeudi</t>
        </is>
      </c>
      <c r="C264" s="7" t="inlineStr">
        <is>
          <t>Course</t>
        </is>
      </c>
      <c r="D264" s="5" t="inlineStr">
        <is>
          <t>EF Z2</t>
        </is>
      </c>
      <c r="E264" s="3" t="n">
        <v>71</v>
      </c>
      <c r="F264" s="5" t="inlineStr">
        <is>
          <t>Z2</t>
        </is>
      </c>
      <c r="G264" s="3" t="n">
        <v>4</v>
      </c>
      <c r="H264" s="6" t="inlineStr">
        <is>
          <t>71' EF Z2 (127-140 bpm)
Allure facile, cadence naturelle</t>
        </is>
      </c>
      <c r="I264" s="3" t="n">
        <v>11.5</v>
      </c>
      <c r="J264" s="3" t="n"/>
      <c r="K264" s="3" t="n"/>
    </row>
    <row r="265" ht="96" customHeight="1" s="159">
      <c r="A265" s="175" t="n">
        <v>46408</v>
      </c>
      <c r="B265" s="3" t="inlineStr">
        <is>
          <t>Jeudi</t>
        </is>
      </c>
      <c r="C265" s="9" t="inlineStr">
        <is>
          <t>Natation</t>
        </is>
      </c>
      <c r="D265" s="5" t="inlineStr">
        <is>
          <t>Natation seuil + soutenu</t>
        </is>
      </c>
      <c r="E265" s="3" t="n">
        <v>69</v>
      </c>
      <c r="F265" s="5" t="inlineStr">
        <is>
          <t>-</t>
        </is>
      </c>
      <c r="G265" s="3" t="n">
        <v>6</v>
      </c>
      <c r="H265" s="6" t="inlineStr">
        <is>
          <t>Échauffement : 200 m souple (110-126 bpm, 2:25/100 m)
Série seuil : 10 x 100 m à l'allure CSS (150-160 bpm, 2:05/100 m) — repos 15 s
Série soutenue : 6 x 200 m à allure soutenue (135-148 bpm, 2:08/100 m) — repos 20 s + 50 m à la suite, même allure
Retour au calme : 200 m souple (110-126 bpm)
Consigne : seuil = effort dur mais régulier, même chrono sur chaque 100 m ; sighting toutes les 6-8 cycles de bras
Total : 2650 m</t>
        </is>
      </c>
      <c r="I265" s="3" t="n"/>
      <c r="J265" s="3" t="n"/>
      <c r="K265" s="3" t="n">
        <v>2650</v>
      </c>
    </row>
    <row r="266" ht="24" customHeight="1" s="159">
      <c r="A266" s="175" t="n">
        <v>46409</v>
      </c>
      <c r="B266" s="3" t="inlineStr">
        <is>
          <t>Vendredi</t>
        </is>
      </c>
      <c r="C266" s="7" t="inlineStr">
        <is>
          <t>Course</t>
        </is>
      </c>
      <c r="D266" s="5" t="inlineStr">
        <is>
          <t>EF Z2 — court</t>
        </is>
      </c>
      <c r="E266" s="3" t="n">
        <v>33</v>
      </c>
      <c r="F266" s="5" t="inlineStr">
        <is>
          <t>Z1-Z2</t>
        </is>
      </c>
      <c r="G266" s="3" t="n">
        <v>2</v>
      </c>
      <c r="H266" s="6" t="inlineStr">
        <is>
          <t>33' EF Z1-Z2 (120-135 bpm) — COURT
Vraie récup — pas de strides</t>
        </is>
      </c>
      <c r="I266" s="3" t="n">
        <v>5</v>
      </c>
      <c r="J266" s="3" t="n"/>
      <c r="K266" s="3" t="n"/>
    </row>
    <row r="267" ht="60" customHeight="1" s="159">
      <c r="A267" s="175" t="n">
        <v>46409</v>
      </c>
      <c r="B267" s="3" t="inlineStr">
        <is>
          <t>Vendredi</t>
        </is>
      </c>
      <c r="C267" s="8" t="inlineStr">
        <is>
          <t>Vélo</t>
        </is>
      </c>
      <c r="D267" s="5" t="inlineStr">
        <is>
          <t>Force spécifique</t>
        </is>
      </c>
      <c r="E267" s="3" t="n">
        <v>114</v>
      </c>
      <c r="F267" s="5" t="inlineStr">
        <is>
          <t>Z2-Z3</t>
        </is>
      </c>
      <c r="G267" s="3" t="n">
        <v>5</v>
      </c>
      <c r="H267" s="6">
        <f>"72' EF (127-140 bpm / "&amp;IF(FTP&gt;0,TEXT(ROUND(FTP*60/500,0)*5,"0"),"?")&amp;"-"&amp;IF(FTP&gt;0,TEXT(ROUND(FTP*70/500,0)*5,"0"),"?")&amp;" W"&amp;") | 5x4'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70g glucides/h si &gt;90'"&amp;CHAR(10)&amp;"10' RC (127-140 bpm / "&amp;IF(FTP&gt;0,TEXT(ROUND(FTP*60/500,0)*5,"0"),"?")&amp;"-"&amp;IF(FTP&gt;0,TEXT(ROUND(FTP*70/500,0)*5,"0"),"?")&amp;" W"&amp;")"</f>
        <v/>
      </c>
      <c r="I267" s="3" t="n"/>
      <c r="J267" s="3" t="n">
        <v>53</v>
      </c>
      <c r="K267" s="3" t="n"/>
    </row>
    <row r="268" ht="84" customHeight="1" s="159">
      <c r="A268" s="175" t="n">
        <v>46410</v>
      </c>
      <c r="B268" s="3" t="inlineStr">
        <is>
          <t>Samedi</t>
        </is>
      </c>
      <c r="C268" s="9" t="inlineStr">
        <is>
          <t>Natation</t>
        </is>
      </c>
      <c r="D268" s="5" t="inlineStr">
        <is>
          <t>Natation technique + bloc IM</t>
        </is>
      </c>
      <c r="E268" s="3" t="n">
        <v>102</v>
      </c>
      <c r="F268" s="5" t="inlineStr">
        <is>
          <t>-</t>
        </is>
      </c>
      <c r="G268" s="3" t="n">
        <v>5</v>
      </c>
      <c r="H268" s="6" t="inlineStr">
        <is>
          <t>Échauffement : 4 x 50 m facile (108-117 bpm) — repos 30 s
Éducatifs : 8 x 50 m (catch-up, finger drag, sighting) — repos 30 s
Bloc continu : 1500 m à allure IM, sans arrêt (135-148 bpm, 2:11/100 m) — sighting toutes les 6-8 cycles de bras
Pull buoy : 14 x 100 m (135-148 bpm, 2:08/100 m) — repos 30 s + 50 m à la suite
Retour au calme : 200 m souple (110-126 bpm)
Total : 3750 m</t>
        </is>
      </c>
      <c r="I268" s="3" t="n"/>
      <c r="J268" s="3" t="n"/>
      <c r="K268" s="3" t="n">
        <v>3750</v>
      </c>
    </row>
    <row r="269" ht="36" customHeight="1" s="159">
      <c r="A269" s="175" t="n">
        <v>46410</v>
      </c>
      <c r="B269" s="3" t="inlineStr">
        <is>
          <t>Samedi</t>
        </is>
      </c>
      <c r="C269" s="7" t="inlineStr">
        <is>
          <t>Course</t>
        </is>
      </c>
      <c r="D269" s="5" t="inlineStr">
        <is>
          <t>SORTIE LONGUE Z2 + fin allure IM — 130' (21 km)</t>
        </is>
      </c>
      <c r="E269" s="3" t="n">
        <v>130</v>
      </c>
      <c r="F269" s="5" t="inlineStr">
        <is>
          <t>Z2-Z3</t>
        </is>
      </c>
      <c r="G269" s="3" t="n">
        <v>6</v>
      </c>
      <c r="H269" s="6" t="inlineStr">
        <is>
          <t>120' Z2 (127-140 bpm) | 8' allure IM (150-155 bpm) | 2' RC
FC &lt; 141 bpm sur 85% du temps
Nutrition : gel à 45' et 90'</t>
        </is>
      </c>
      <c r="I269" s="3" t="n">
        <v>21</v>
      </c>
      <c r="J269" s="3" t="n"/>
      <c r="K269" s="3" t="n"/>
    </row>
    <row r="270" ht="36" customHeight="1" s="159">
      <c r="A270" s="175" t="n">
        <v>46411</v>
      </c>
      <c r="B270" s="3" t="inlineStr">
        <is>
          <t>Dimanche</t>
        </is>
      </c>
      <c r="C270" s="8" t="inlineStr">
        <is>
          <t>Vélo</t>
        </is>
      </c>
      <c r="D270" s="5" t="inlineStr">
        <is>
          <t>Sortie longue — 296' (138.0 km)</t>
        </is>
      </c>
      <c r="E270" s="3" t="n">
        <v>296</v>
      </c>
      <c r="F270" s="5" t="inlineStr">
        <is>
          <t>Z2-Z3</t>
        </is>
      </c>
      <c r="G270" s="3" t="n">
        <v>6</v>
      </c>
      <c r="H270" s="6">
        <f>"296' Z2 (127-140 bpm / "&amp;IF(FTP&gt;0,TEXT(ROUND(FTP*60/500,0)*5,"0"),"?")&amp;"-"&amp;IF(FTP&gt;0,TEXT(ROUND(FTP*70/500,0)*5,"0"),"?")&amp;" W"&amp;")"&amp;CHAR(10)&amp;"Cadence 85-92 rpm"&amp;CHAR(10)&amp;"NUTRITION : 70g glucides/h si &gt;60'"</f>
        <v/>
      </c>
      <c r="I270" s="3" t="n"/>
      <c r="J270" s="3" t="n">
        <v>138</v>
      </c>
      <c r="K270" s="3" t="n"/>
    </row>
    <row r="271" ht="24" customHeight="1" s="159">
      <c r="A271" s="175" t="n">
        <v>46411</v>
      </c>
      <c r="B271" s="3" t="inlineStr">
        <is>
          <t>Dimanche</t>
        </is>
      </c>
      <c r="C271" s="7" t="inlineStr">
        <is>
          <t>Course</t>
        </is>
      </c>
      <c r="D271" s="5" t="inlineStr">
        <is>
          <t>CAP en Brick — 20'</t>
        </is>
      </c>
      <c r="E271" s="3" t="n">
        <v>20</v>
      </c>
      <c r="F271" s="5" t="inlineStr">
        <is>
          <t>Z2-Z3</t>
        </is>
      </c>
      <c r="G271" s="3" t="n">
        <v>4</v>
      </c>
      <c r="H271" s="6" t="inlineStr">
        <is>
          <t>Transition directe après vélo — 20' @ Z2-Z3 (127-155 bpm)
Adaptation transition vélo→CAP</t>
        </is>
      </c>
      <c r="I271" s="3" t="n">
        <v>3.5</v>
      </c>
      <c r="J271" s="3" t="n"/>
      <c r="K271" s="3" t="n"/>
    </row>
    <row r="272" ht="60" customHeight="1" s="159">
      <c r="A272" s="175" t="n">
        <v>46411</v>
      </c>
      <c r="B272" s="3" t="inlineStr">
        <is>
          <t>Dimanche</t>
        </is>
      </c>
      <c r="C272" s="9" t="inlineStr">
        <is>
          <t>Natation</t>
        </is>
      </c>
      <c r="D272" s="5" t="inlineStr">
        <is>
          <t>Natation récupération</t>
        </is>
      </c>
      <c r="E272" s="3" t="n">
        <v>71</v>
      </c>
      <c r="F272" s="5" t="inlineStr">
        <is>
          <t>-</t>
        </is>
      </c>
      <c r="G272" s="3" t="n">
        <v>2</v>
      </c>
      <c r="H272" s="6" t="inlineStr">
        <is>
          <t>Échauffement : 200 m souple (110-126 bpm)
Série : 21 x 100 m technique, nage relâchée (110-120 bpm) — repos 30 s + 50 m souple
Retour au calme : 50 m souple
Consigne : séance de récupération : relâchement, amplitude, aucune recherche de vitesse
Total : 2400 m</t>
        </is>
      </c>
      <c r="I272" s="3" t="n"/>
      <c r="J272" s="3" t="n"/>
      <c r="K272" s="3" t="n">
        <v>2400</v>
      </c>
    </row>
    <row r="273" ht="15" customHeight="1" s="159">
      <c r="A273" s="10" t="n"/>
      <c r="B273" s="10" t="n"/>
      <c r="C273" s="10" t="n"/>
      <c r="D273" s="10" t="n"/>
      <c r="E273" s="10" t="n"/>
      <c r="F273" s="10" t="n"/>
      <c r="G273" s="10" t="n"/>
      <c r="H273" s="11" t="inlineStr">
        <is>
          <t>TOTAL SEMAINE</t>
        </is>
      </c>
      <c r="I273" s="10">
        <f>SUM(I260:I272)</f>
        <v/>
      </c>
      <c r="J273" s="10">
        <f>SUM(J260:J272)</f>
        <v/>
      </c>
      <c r="K273" s="10">
        <f>SUM(K260:K272)</f>
        <v/>
      </c>
    </row>
    <row r="274" ht="15" customHeight="1" s="159">
      <c r="A274" s="152" t="inlineStr">
        <is>
          <t xml:space="preserve">  S22 — 25/01/2027 → 31/01/2027   |     Phase 3 — WE Paris Anniversaire (Deload)</t>
        </is>
      </c>
    </row>
    <row r="275" ht="36" customHeight="1" s="159">
      <c r="A275" s="175" t="n">
        <v>46412</v>
      </c>
      <c r="B275" s="3" t="inlineStr">
        <is>
          <t>Lundi</t>
        </is>
      </c>
      <c r="C275" s="4" t="inlineStr">
        <is>
          <t>Repos</t>
        </is>
      </c>
      <c r="D275" s="5" t="inlineStr">
        <is>
          <t>OFF</t>
        </is>
      </c>
      <c r="E275" s="3" t="inlineStr">
        <is>
          <t>-</t>
        </is>
      </c>
      <c r="F275" s="5" t="inlineStr">
        <is>
          <t>-</t>
        </is>
      </c>
      <c r="G275" s="3" t="n">
        <v>1</v>
      </c>
      <c r="H275" s="6" t="inlineStr">
        <is>
          <t>Repos complet</t>
        </is>
      </c>
      <c r="I275" s="3" t="n"/>
      <c r="J275" s="3" t="n"/>
      <c r="K275" s="3" t="n"/>
    </row>
    <row r="276" ht="168" customHeight="1" s="159">
      <c r="A276" s="175" t="n">
        <v>46413</v>
      </c>
      <c r="B276" s="3" t="inlineStr">
        <is>
          <t>Mardi</t>
        </is>
      </c>
      <c r="C276" s="7" t="inlineStr">
        <is>
          <t>Course</t>
        </is>
      </c>
      <c r="D276" s="5" t="inlineStr">
        <is>
          <t>Qualité — 10-10-5 (SV1 / SV1+ / Allure IM) — décharge</t>
        </is>
      </c>
      <c r="E276" s="3" t="n">
        <v>46</v>
      </c>
      <c r="F276" s="5" t="inlineStr">
        <is>
          <t>Z3</t>
        </is>
      </c>
      <c r="G276" s="3" t="n">
        <v>6</v>
      </c>
      <c r="H276" s="6" t="inlineStr">
        <is>
          <t>Objectif : durabilité : finir à l'allure IM après SV1 → SV1+ — répéter le ravitaillement : 30 g de glucides
9' EF Z2 (127-140 bpm)
10' SV1 (155-165 bpm)
3' de repos
10' SV1+ (165-171 bpm)
3' de repos
5' Allure IM (150-155 bpm)
6' EF Z2 (127-140 bpm)
Décharge : même type de séance que le bloc précédent, volume de qualité réduit</t>
        </is>
      </c>
      <c r="I276" s="3" t="n">
        <v>8</v>
      </c>
      <c r="J276" s="3" t="n"/>
      <c r="K276" s="3" t="n"/>
    </row>
    <row r="277" ht="24" customHeight="1" s="159">
      <c r="A277" s="175" t="n">
        <v>46413</v>
      </c>
      <c r="B277" s="3" t="inlineStr">
        <is>
          <t>Mardi</t>
        </is>
      </c>
      <c r="C277" s="8" t="inlineStr">
        <is>
          <t>Vélo</t>
        </is>
      </c>
      <c r="D277" s="5" t="inlineStr">
        <is>
          <t>Vélo récupération Z1</t>
        </is>
      </c>
      <c r="E277" s="3" t="n">
        <v>39</v>
      </c>
      <c r="F277" s="5" t="inlineStr">
        <is>
          <t>Z2</t>
        </is>
      </c>
      <c r="G277" s="3" t="n">
        <v>2</v>
      </c>
      <c r="H277" s="6">
        <f>"39' Z1 très facile (&lt; 127 bpm / "&amp;IF(FTP&gt;0,TEXT(ROUND(FTP*50/500,0)*5,"0"),"?")&amp;"-"&amp;IF(FTP&gt;0,TEXT(ROUND(FTP*55/500,0)*5,"0"),"?")&amp;" W"&amp;") — récupération active"&amp;CHAR(10)&amp;"Cadence souple 85-90 rpm"</f>
        <v/>
      </c>
      <c r="I277" s="3" t="n"/>
      <c r="J277" s="3" t="n">
        <v>18</v>
      </c>
      <c r="K277" s="3" t="n"/>
    </row>
    <row r="278" ht="60" customHeight="1" s="159">
      <c r="A278" s="175" t="n">
        <v>46414</v>
      </c>
      <c r="B278" s="3" t="inlineStr">
        <is>
          <t>Mercredi</t>
        </is>
      </c>
      <c r="C278" s="8" t="inlineStr">
        <is>
          <t>Vélo</t>
        </is>
      </c>
      <c r="D278" s="5" t="inlineStr">
        <is>
          <t>Vélo clé — 2x20' @ 88% FTP — r=5'</t>
        </is>
      </c>
      <c r="E278" s="3" t="n">
        <v>90</v>
      </c>
      <c r="F278" s="5" t="inlineStr">
        <is>
          <t>Z3</t>
        </is>
      </c>
      <c r="G278" s="3" t="n">
        <v>5</v>
      </c>
      <c r="H278" s="6">
        <f>"35' EF Z2 (127-140 bpm / "&amp;IF(FTP&gt;0,TEXT(ROUND(FTP*60/500,0)*5,"0"),"?")&amp;"-"&amp;IF(FTP&gt;0,TEXT(ROUND(FTP*70/500,0)*5,"0"),"?")&amp;" W"&amp;") | 2x20' @ 88% FTP ("&amp;IF(FTP&gt;0,TEXT(ROUND(FTP*88/500,0)*5,"0"),"?")&amp;" W"&amp;") — r=5'"&amp;CHAR(10)&amp;"Objectif : développer la puissance au seuil (FTP)"&amp;CHAR(10)&amp;"FC bloc cible : ~159 bpm (82% FC max) | Cadence : 87-93 rpm | RPE 7-8/10"&amp;CHAR(10)&amp;"NUTRITION : 70g glucides/h si &gt;90'"&amp;CHAR(10)&amp;"10' RC (127-140 bpm / "&amp;IF(FTP&gt;0,TEXT(ROUND(FTP*60/500,0)*5,"0"),"?")&amp;"-"&amp;IF(FTP&gt;0,TEXT(ROUND(FTP*70/500,0)*5,"0"),"?")&amp;" W"&amp;")"</f>
        <v/>
      </c>
      <c r="I278" s="3" t="n"/>
      <c r="J278" s="3" t="n">
        <v>42</v>
      </c>
      <c r="K278" s="3" t="n"/>
    </row>
    <row r="279" ht="24" customHeight="1" s="159">
      <c r="A279" s="175" t="n">
        <v>46415</v>
      </c>
      <c r="B279" s="3" t="inlineStr">
        <is>
          <t>Jeudi</t>
        </is>
      </c>
      <c r="C279" s="7" t="inlineStr">
        <is>
          <t>Course</t>
        </is>
      </c>
      <c r="D279" s="5" t="inlineStr">
        <is>
          <t>EF + strides</t>
        </is>
      </c>
      <c r="E279" s="3" t="n">
        <v>46</v>
      </c>
      <c r="F279" s="5" t="inlineStr">
        <is>
          <t>Z1-Z2</t>
        </is>
      </c>
      <c r="G279" s="3" t="n">
        <v>2</v>
      </c>
      <c r="H279" s="6" t="inlineStr">
        <is>
          <t>46' EF Z2 (127-140 bpm) | 4x20'' strides
Jamais &gt; Z2</t>
        </is>
      </c>
      <c r="I279" s="3" t="n">
        <v>7.5</v>
      </c>
      <c r="J279" s="3" t="n"/>
      <c r="K279" s="3" t="n"/>
    </row>
    <row r="280" ht="60" customHeight="1" s="159">
      <c r="A280" s="175" t="n">
        <v>46415</v>
      </c>
      <c r="B280" s="3" t="inlineStr">
        <is>
          <t>Jeudi</t>
        </is>
      </c>
      <c r="C280" s="9" t="inlineStr">
        <is>
          <t>Natation</t>
        </is>
      </c>
      <c r="D280" s="5" t="inlineStr">
        <is>
          <t>Natation récupération</t>
        </is>
      </c>
      <c r="E280" s="3" t="n">
        <v>76</v>
      </c>
      <c r="F280" s="5" t="inlineStr">
        <is>
          <t>-</t>
        </is>
      </c>
      <c r="G280" s="3" t="n">
        <v>2</v>
      </c>
      <c r="H280" s="6" t="inlineStr">
        <is>
          <t>Échauffement : 200 m souple (110-126 bpm)
Série : 23 x 100 m technique, nage relâchée (110-120 bpm) — repos 30 s + 50 m souple
Retour au calme : 50 m souple
Consigne : séance de récupération : relâchement, amplitude, aucune recherche de vitesse
Total : 2600 m</t>
        </is>
      </c>
      <c r="I280" s="3" t="n"/>
      <c r="J280" s="3" t="n"/>
      <c r="K280" s="3" t="n">
        <v>2600</v>
      </c>
    </row>
    <row r="281" ht="24" customHeight="1" s="159">
      <c r="A281" s="175" t="n">
        <v>46416</v>
      </c>
      <c r="B281" s="3" t="inlineStr">
        <is>
          <t>Vendredi</t>
        </is>
      </c>
      <c r="C281" s="7" t="inlineStr">
        <is>
          <t>Course</t>
        </is>
      </c>
      <c r="D281" s="5" t="inlineStr">
        <is>
          <t>EF Z2 — court</t>
        </is>
      </c>
      <c r="E281" s="3" t="n">
        <v>27</v>
      </c>
      <c r="F281" s="5" t="inlineStr">
        <is>
          <t>Z1-Z2</t>
        </is>
      </c>
      <c r="G281" s="3" t="n">
        <v>2</v>
      </c>
      <c r="H281" s="6" t="inlineStr">
        <is>
          <t>27' EF Z1-Z2 (120-135 bpm) — COURT
Vraie récup — pas de strides</t>
        </is>
      </c>
      <c r="I281" s="3" t="n">
        <v>4</v>
      </c>
      <c r="J281" s="3" t="n"/>
      <c r="K281" s="3" t="n"/>
    </row>
    <row r="282" ht="48" customHeight="1" s="159">
      <c r="A282" s="175" t="n">
        <v>46416</v>
      </c>
      <c r="B282" s="3" t="inlineStr">
        <is>
          <t>Vendredi</t>
        </is>
      </c>
      <c r="C282" s="8" t="inlineStr">
        <is>
          <t>Vélo</t>
        </is>
      </c>
      <c r="D282" s="5" t="inlineStr">
        <is>
          <t>Force légère</t>
        </is>
      </c>
      <c r="E282" s="3" t="n">
        <v>75</v>
      </c>
      <c r="F282" s="5" t="inlineStr">
        <is>
          <t>Z2-Z3</t>
        </is>
      </c>
      <c r="G282" s="3" t="n">
        <v>3</v>
      </c>
      <c r="H282" s="6">
        <f>"40'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282" s="3" t="n"/>
      <c r="J282" s="3" t="n">
        <v>35</v>
      </c>
      <c r="K282" s="3" t="n"/>
    </row>
    <row r="283" ht="84" customHeight="1" s="159">
      <c r="A283" s="175" t="n">
        <v>46417</v>
      </c>
      <c r="B283" s="3" t="inlineStr">
        <is>
          <t>Samedi</t>
        </is>
      </c>
      <c r="C283" s="9" t="inlineStr">
        <is>
          <t>Natation</t>
        </is>
      </c>
      <c r="D283" s="5" t="inlineStr">
        <is>
          <t>Natation technique + bloc IM</t>
        </is>
      </c>
      <c r="E283" s="3" t="n">
        <v>90</v>
      </c>
      <c r="F283" s="5" t="inlineStr">
        <is>
          <t>-</t>
        </is>
      </c>
      <c r="G283" s="3" t="n">
        <v>5</v>
      </c>
      <c r="H283" s="6" t="inlineStr">
        <is>
          <t>Échauffement : 4 x 50 m facile (108-117 bpm) — repos 30 s
Éducatifs : 8 x 50 m (catch-up, finger drag, sighting) — repos 30 s
Bloc continu : 1000 m à allure IM, sans arrêt (135-148 bpm, 2:11/100 m) — sighting toutes les 6-8 cycles de bras
Pull buoy : 14 x 100 m (135-148 bpm, 2:08/100 m) — repos 30 s
Retour au calme : 200 m souple (110-126 bpm)
Total : 3200 m</t>
        </is>
      </c>
      <c r="I283" s="3" t="n"/>
      <c r="J283" s="3" t="n"/>
      <c r="K283" s="3" t="n">
        <v>3200</v>
      </c>
    </row>
    <row r="284" ht="24" customHeight="1" s="159">
      <c r="A284" s="175" t="n">
        <v>46417</v>
      </c>
      <c r="B284" s="3" t="inlineStr">
        <is>
          <t>Samedi</t>
        </is>
      </c>
      <c r="C284" s="7" t="inlineStr">
        <is>
          <t>Course</t>
        </is>
      </c>
      <c r="D284" s="5" t="inlineStr">
        <is>
          <t>SORTIE LONGUE Z2 — 86' (14 km)</t>
        </is>
      </c>
      <c r="E284" s="3" t="n">
        <v>86</v>
      </c>
      <c r="F284" s="5" t="inlineStr">
        <is>
          <t>Z2</t>
        </is>
      </c>
      <c r="G284" s="3" t="n">
        <v>6</v>
      </c>
      <c r="H284" s="6" t="inlineStr">
        <is>
          <t>Z2 86' — allure conversationnelle
FC : 127-140 bpm</t>
        </is>
      </c>
      <c r="I284" s="3" t="n">
        <v>14</v>
      </c>
      <c r="J284" s="3" t="n"/>
      <c r="K284" s="3" t="n"/>
    </row>
    <row r="285" ht="48" customHeight="1" s="159">
      <c r="A285" s="175" t="n">
        <v>46418</v>
      </c>
      <c r="B285" s="3" t="inlineStr">
        <is>
          <t>Dimanche</t>
        </is>
      </c>
      <c r="C285" s="8" t="inlineStr">
        <is>
          <t>Vélo</t>
        </is>
      </c>
      <c r="D285" s="5" t="inlineStr">
        <is>
          <t>Sortie longue — 193' (90.0 km)</t>
        </is>
      </c>
      <c r="E285" s="3" t="n">
        <v>193</v>
      </c>
      <c r="F285" s="5" t="inlineStr">
        <is>
          <t>Z2-Z3</t>
        </is>
      </c>
      <c r="G285" s="3" t="n">
        <v>4</v>
      </c>
      <c r="H285" s="6">
        <f>"193' Z2 (127-140 bpm / "&amp;IF(FTP&gt;0,TEXT(ROUND(FTP*60/500,0)*5,"0"),"?")&amp;"-"&amp;IF(FTP&gt;0,TEXT(ROUND(FTP*70/500,0)*5,"0"),"?")&amp;" W"&amp;")"&amp;CHAR(10)&amp;"Cadence 85-92 rpm"&amp;CHAR(10)&amp;"Semaine deload — volume réduit"&amp;CHAR(10)&amp;"NUTRITION : 70g glucides/h si &gt;60'"</f>
        <v/>
      </c>
      <c r="I285" s="3" t="n"/>
      <c r="J285" s="3" t="n">
        <v>90</v>
      </c>
      <c r="K285" s="3" t="n"/>
    </row>
    <row r="286" ht="24" customHeight="1" s="159">
      <c r="A286" s="175" t="n">
        <v>46418</v>
      </c>
      <c r="B286" s="3" t="inlineStr">
        <is>
          <t>Dimanche</t>
        </is>
      </c>
      <c r="C286" s="7" t="inlineStr">
        <is>
          <t>Course</t>
        </is>
      </c>
      <c r="D286" s="5" t="inlineStr">
        <is>
          <t>CAP en Brick — 15'</t>
        </is>
      </c>
      <c r="E286" s="3" t="n">
        <v>15</v>
      </c>
      <c r="F286" s="5" t="inlineStr">
        <is>
          <t>Z2-Z3</t>
        </is>
      </c>
      <c r="G286" s="3" t="n">
        <v>4</v>
      </c>
      <c r="H286" s="6" t="inlineStr">
        <is>
          <t>Transition directe après vélo — 15' @ Z2-Z3 (127-155 bpm)
Adaptation transition vélo→CAP</t>
        </is>
      </c>
      <c r="I286" s="3" t="n">
        <v>2.5</v>
      </c>
      <c r="J286" s="3" t="n"/>
      <c r="K286" s="3" t="n"/>
    </row>
    <row r="287" ht="15" customHeight="1" s="159">
      <c r="A287" s="10" t="n"/>
      <c r="B287" s="10" t="n"/>
      <c r="C287" s="10" t="n"/>
      <c r="D287" s="10" t="n"/>
      <c r="E287" s="10" t="n"/>
      <c r="F287" s="10" t="n"/>
      <c r="G287" s="10" t="n"/>
      <c r="H287" s="11" t="inlineStr">
        <is>
          <t>TOTAL SEMAINE</t>
        </is>
      </c>
      <c r="I287" s="10">
        <f>SUM(I275:I286)</f>
        <v/>
      </c>
      <c r="J287" s="10">
        <f>SUM(J275:J286)</f>
        <v/>
      </c>
      <c r="K287" s="10">
        <f>SUM(K275:K286)</f>
        <v/>
      </c>
    </row>
    <row r="288" ht="15" customHeight="1" s="159">
      <c r="A288" s="146" t="inlineStr">
        <is>
          <t xml:space="preserve">  S23 — 01/02/2027 → 07/02/2027   |     Phase 3 — Pré-IM</t>
        </is>
      </c>
    </row>
    <row r="289" ht="48" customHeight="1" s="159">
      <c r="A289" s="175" t="n">
        <v>46419</v>
      </c>
      <c r="B289" s="13" t="inlineStr">
        <is>
          <t>Lundi</t>
        </is>
      </c>
      <c r="C289" s="13" t="inlineStr">
        <is>
          <t>Repos</t>
        </is>
      </c>
      <c r="D289" s="13" t="inlineStr">
        <is>
          <t>OFF</t>
        </is>
      </c>
      <c r="E289" s="13" t="inlineStr">
        <is>
          <t>-</t>
        </is>
      </c>
      <c r="F289" s="13" t="inlineStr">
        <is>
          <t>-</t>
        </is>
      </c>
      <c r="G289" s="13" t="n">
        <v>1</v>
      </c>
      <c r="H289" s="13" t="inlineStr">
        <is>
          <t>Repos complet</t>
        </is>
      </c>
      <c r="I289" s="13" t="n"/>
      <c r="J289" s="13" t="n"/>
      <c r="K289" s="13" t="n"/>
    </row>
    <row r="290" ht="108" customHeight="1" s="159">
      <c r="A290" s="175" t="n">
        <v>46420</v>
      </c>
      <c r="B290" s="3" t="inlineStr">
        <is>
          <t>Mardi</t>
        </is>
      </c>
      <c r="C290" s="7" t="inlineStr">
        <is>
          <t>Course</t>
        </is>
      </c>
      <c r="D290" s="5" t="inlineStr">
        <is>
          <t>Qualité — 2km/1km x3 (Tempo / allure IM)</t>
        </is>
      </c>
      <c r="E290" s="3" t="n">
        <v>66</v>
      </c>
      <c r="F290" s="5" t="inlineStr">
        <is>
          <t>Z3-Z4</t>
        </is>
      </c>
      <c r="G290" s="3" t="n">
        <v>7</v>
      </c>
      <c r="H290" s="6" t="inlineStr">
        <is>
          <t>Objectif : spécificité Ironman : relances au-dessus de l'allure IM puis retour à l'allure IM (150-155 bpm), sans récupération
13' EF Z2 (127-140 bpm)
3 x [2 km à 85% FC max (165 bpm) + 1 km à allure IM (150-155 bpm)]
enchaînés, sans récupération
8' EF Z2 (127-140 bpm)</t>
        </is>
      </c>
      <c r="I290" s="3" t="n">
        <v>12.5</v>
      </c>
      <c r="J290" s="3" t="n"/>
      <c r="K290" s="3" t="n"/>
    </row>
    <row r="291" ht="24" customHeight="1" s="159">
      <c r="A291" s="175" t="n">
        <v>46420</v>
      </c>
      <c r="B291" s="3" t="inlineStr">
        <is>
          <t>Mardi</t>
        </is>
      </c>
      <c r="C291" s="8" t="inlineStr">
        <is>
          <t>Vélo</t>
        </is>
      </c>
      <c r="D291" s="5" t="inlineStr">
        <is>
          <t>Vélo récupération Z1</t>
        </is>
      </c>
      <c r="E291" s="3" t="n">
        <v>54</v>
      </c>
      <c r="F291" s="5" t="inlineStr">
        <is>
          <t>Z2</t>
        </is>
      </c>
      <c r="G291" s="3" t="n">
        <v>2</v>
      </c>
      <c r="H291" s="6">
        <f>"54' Z1 très facile (&lt; 127 bpm / "&amp;IF(FTP&gt;0,TEXT(ROUND(FTP*50/500,0)*5,"0"),"?")&amp;"-"&amp;IF(FTP&gt;0,TEXT(ROUND(FTP*55/500,0)*5,"0"),"?")&amp;" W"&amp;") — récupération active"&amp;CHAR(10)&amp;"Cadence souple 85-90 rpm"</f>
        <v/>
      </c>
      <c r="I291" s="3" t="n"/>
      <c r="J291" s="3" t="n">
        <v>25</v>
      </c>
      <c r="K291" s="3" t="n"/>
    </row>
    <row r="292" ht="132" customHeight="1" s="159">
      <c r="A292" s="175" t="n">
        <v>46421</v>
      </c>
      <c r="B292" s="3" t="inlineStr">
        <is>
          <t>Mercredi</t>
        </is>
      </c>
      <c r="C292" s="8" t="inlineStr">
        <is>
          <t>Vélo</t>
        </is>
      </c>
      <c r="D292" s="5" t="inlineStr">
        <is>
          <t>Vélo clé — Test FTP 20'</t>
        </is>
      </c>
      <c r="E292" s="3" t="n">
        <v>141</v>
      </c>
      <c r="F292" s="5" t="inlineStr">
        <is>
          <t>Z4</t>
        </is>
      </c>
      <c r="G292" s="3" t="n">
        <v>9</v>
      </c>
      <c r="H292" s="6">
        <f>"25' EF Z2 (127-140 bpm / "&amp;IF(FTP&gt;0,TEXT(ROUND(FTP*60/500,0)*5,"0"),"?")&amp;"-"&amp;IF(FTP&gt;0,TEXT(ROUND(FTP*70/500,0)*5,"0"),"?")&amp;" W"&amp;") dont 3x1' rapide (110 rpm) | 5' très facile (127-140 bpm / "&amp;IF(FTP&gt;0,TEXT(ROUND(FTP*50/500,0)*5,"0"),"?")&amp;"-"&amp;IF(FTP&gt;0,TEXT(ROUND(FTP*60/500,0)*5,"0"),"?")&amp;" W"&amp;") | 20' test — effort maximal régulier"&amp;CHAR(10)&amp;"Objectif : mesurer ta FTP (frais, après la semaine de décharge)"&amp;CHAR(10)&amp;"Départ : 5 premières minutes @ 100% FTP ("&amp;IF(FTP&gt;0,TEXT(ROUND(FTP*100/500,0)*5,"0"),"?")&amp;" W"&amp;"), puis augmente de 5 W toutes les 5' si tu te sens bien — note la puissance moyenne des 20' et la FC moyenne des 10 dernières minutes | Cadence : 85-95 rpm | RPE 9/10"&amp;CHAR(10)&amp;"Calcul : FTP = 0,95 × puissance moyenne des 20' — à reporter dans la case FTP de l'onglet Repères vélo"&amp;CHAR(10)&amp;"81' EF Z2 (127-140 bpm / "&amp;IF(FTP&gt;0,TEXT(ROUND(FTP*60/500,0)*5,"0"),"?")&amp;"-"&amp;IF(FTP&gt;0,TEXT(ROUND(FTP*70/500,0)*5,"0"),"?")&amp;" W"&amp;")"&amp;CHAR(10)&amp;"NUTRITION : 70g glucides/h si &gt;90'"&amp;CHAR(10)&amp;"10' RC (127-140 bpm / "&amp;IF(FTP&gt;0,TEXT(ROUND(FTP*60/500,0)*5,"0"),"?")&amp;"-"&amp;IF(FTP&gt;0,TEXT(ROUND(FTP*70/500,0)*5,"0"),"?")&amp;" W"&amp;")"</f>
        <v/>
      </c>
      <c r="I292" s="3" t="n"/>
      <c r="J292" s="3" t="n">
        <v>66</v>
      </c>
      <c r="K292" s="3" t="n"/>
    </row>
    <row r="293" ht="24" customHeight="1" s="159">
      <c r="A293" s="175" t="n">
        <v>46422</v>
      </c>
      <c r="B293" s="3" t="inlineStr">
        <is>
          <t>Jeudi</t>
        </is>
      </c>
      <c r="C293" s="7" t="inlineStr">
        <is>
          <t>Course</t>
        </is>
      </c>
      <c r="D293" s="5" t="inlineStr">
        <is>
          <t>EF Z2</t>
        </is>
      </c>
      <c r="E293" s="3" t="n">
        <v>74</v>
      </c>
      <c r="F293" s="5" t="inlineStr">
        <is>
          <t>Z2</t>
        </is>
      </c>
      <c r="G293" s="3" t="n">
        <v>4</v>
      </c>
      <c r="H293" s="6" t="inlineStr">
        <is>
          <t>74' EF Z2 (127-140 bpm)
Allure facile, cadence naturelle</t>
        </is>
      </c>
      <c r="I293" s="3" t="n">
        <v>12</v>
      </c>
      <c r="J293" s="3" t="n"/>
      <c r="K293" s="3" t="n"/>
    </row>
    <row r="294" ht="72" customHeight="1" s="159">
      <c r="A294" s="175" t="n">
        <v>46422</v>
      </c>
      <c r="B294" s="3" t="inlineStr">
        <is>
          <t>Jeudi</t>
        </is>
      </c>
      <c r="C294" s="9" t="inlineStr">
        <is>
          <t>Natation</t>
        </is>
      </c>
      <c r="D294" s="5" t="inlineStr">
        <is>
          <t>Natation endurance</t>
        </is>
      </c>
      <c r="E294" s="3" t="n">
        <v>69</v>
      </c>
      <c r="F294" s="5" t="inlineStr">
        <is>
          <t>-</t>
        </is>
      </c>
      <c r="G294" s="3" t="n">
        <v>4</v>
      </c>
      <c r="H294" s="6" t="inlineStr">
        <is>
          <t>Échauffement : 200 m souple (110-126 bpm, 2:25/100 m)
Série principale : 7 x 300 m à allure soutenue (135-148 bpm, 2:08/100 m) — repos 20 s + 200 m à la suite, même allure
Retour au calme : 200 m souple (110-126 bpm)
Consigne : allure constante sur chaque répétition ; sighting toutes les 6-8 cycles de bras
Total : 2700 m</t>
        </is>
      </c>
      <c r="I294" s="3" t="n"/>
      <c r="J294" s="3" t="n"/>
      <c r="K294" s="3" t="n">
        <v>2700</v>
      </c>
    </row>
    <row r="295" ht="24" customHeight="1" s="159">
      <c r="A295" s="175" t="n">
        <v>46423</v>
      </c>
      <c r="B295" s="3" t="inlineStr">
        <is>
          <t>Vendredi</t>
        </is>
      </c>
      <c r="C295" s="7" t="inlineStr">
        <is>
          <t>Course</t>
        </is>
      </c>
      <c r="D295" s="5" t="inlineStr">
        <is>
          <t>EF Z2 — court</t>
        </is>
      </c>
      <c r="E295" s="3" t="n">
        <v>33</v>
      </c>
      <c r="F295" s="5" t="inlineStr">
        <is>
          <t>Z1-Z2</t>
        </is>
      </c>
      <c r="G295" s="3" t="n">
        <v>2</v>
      </c>
      <c r="H295" s="6" t="inlineStr">
        <is>
          <t>33' EF Z1-Z2 (120-135 bpm) — COURT
Vraie récup — pas de strides</t>
        </is>
      </c>
      <c r="I295" s="3" t="n">
        <v>5</v>
      </c>
      <c r="J295" s="3" t="n"/>
      <c r="K295" s="3" t="n"/>
    </row>
    <row r="296" ht="60" customHeight="1" s="159">
      <c r="A296" s="175" t="n">
        <v>46423</v>
      </c>
      <c r="B296" s="3" t="inlineStr">
        <is>
          <t>Vendredi</t>
        </is>
      </c>
      <c r="C296" s="8" t="inlineStr">
        <is>
          <t>Vélo</t>
        </is>
      </c>
      <c r="D296" s="5" t="inlineStr">
        <is>
          <t>Force spécifique</t>
        </is>
      </c>
      <c r="E296" s="3" t="n">
        <v>116</v>
      </c>
      <c r="F296" s="5" t="inlineStr">
        <is>
          <t>Z2-Z3</t>
        </is>
      </c>
      <c r="G296" s="3" t="n">
        <v>5</v>
      </c>
      <c r="H296" s="6">
        <f>"74' EF (127-140 bpm / "&amp;IF(FTP&gt;0,TEXT(ROUND(FTP*60/500,0)*5,"0"),"?")&amp;"-"&amp;IF(FTP&gt;0,TEXT(ROUND(FTP*70/500,0)*5,"0"),"?")&amp;" W"&amp;") | 5x4'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70g glucides/h si &gt;90'"&amp;CHAR(10)&amp;"10' RC (127-140 bpm / "&amp;IF(FTP&gt;0,TEXT(ROUND(FTP*60/500,0)*5,"0"),"?")&amp;"-"&amp;IF(FTP&gt;0,TEXT(ROUND(FTP*70/500,0)*5,"0"),"?")&amp;" W"&amp;")"</f>
        <v/>
      </c>
      <c r="I296" s="3" t="n"/>
      <c r="J296" s="3" t="n">
        <v>54</v>
      </c>
      <c r="K296" s="3" t="n"/>
    </row>
    <row r="297" ht="84" customHeight="1" s="159">
      <c r="A297" s="175" t="n">
        <v>46424</v>
      </c>
      <c r="B297" s="3" t="inlineStr">
        <is>
          <t>Samedi</t>
        </is>
      </c>
      <c r="C297" s="9" t="inlineStr">
        <is>
          <t>Natation</t>
        </is>
      </c>
      <c r="D297" s="5" t="inlineStr">
        <is>
          <t>Natation technique + bloc IM</t>
        </is>
      </c>
      <c r="E297" s="3" t="n">
        <v>104</v>
      </c>
      <c r="F297" s="5" t="inlineStr">
        <is>
          <t>-</t>
        </is>
      </c>
      <c r="G297" s="3" t="n">
        <v>5</v>
      </c>
      <c r="H297" s="6" t="inlineStr">
        <is>
          <t>Échauffement : 4 x 50 m facile (108-117 bpm) — repos 30 s
Éducatifs : 8 x 50 m (catch-up, finger drag, sighting) — repos 30 s
Bloc continu : 1600 m à allure IM, sans arrêt (135-148 bpm, 2:11/100 m) — sighting toutes les 6-8 cycles de bras
Pull buoy : 14 x 100 m (135-148 bpm, 2:08/100 m) — repos 30 s + 50 m à la suite
Retour au calme : 200 m souple (110-126 bpm)
Total : 3850 m</t>
        </is>
      </c>
      <c r="I297" s="3" t="n"/>
      <c r="J297" s="3" t="n"/>
      <c r="K297" s="3" t="n">
        <v>3850</v>
      </c>
    </row>
    <row r="298" ht="36" customHeight="1" s="159">
      <c r="A298" s="175" t="n">
        <v>46424</v>
      </c>
      <c r="B298" s="3" t="inlineStr">
        <is>
          <t>Samedi</t>
        </is>
      </c>
      <c r="C298" s="7" t="inlineStr">
        <is>
          <t>Course</t>
        </is>
      </c>
      <c r="D298" s="5" t="inlineStr">
        <is>
          <t>SORTIE LONGUE Z2 + fin allure IM — 136' (22 km)</t>
        </is>
      </c>
      <c r="E298" s="3" t="n">
        <v>136</v>
      </c>
      <c r="F298" s="5" t="inlineStr">
        <is>
          <t>Z2-Z3</t>
        </is>
      </c>
      <c r="G298" s="3" t="n">
        <v>6</v>
      </c>
      <c r="H298" s="6" t="inlineStr">
        <is>
          <t>126' Z2 (127-140 bpm) | 8' allure IM (150-155 bpm) | 2' RC
FC &lt; 141 bpm sur 85% du temps
Nutrition : gel à 45' et 90'</t>
        </is>
      </c>
      <c r="I298" s="3" t="n">
        <v>22</v>
      </c>
      <c r="J298" s="3" t="n"/>
      <c r="K298" s="3" t="n"/>
    </row>
    <row r="299" ht="36" customHeight="1" s="159">
      <c r="A299" s="175" t="n">
        <v>46425</v>
      </c>
      <c r="B299" s="3" t="inlineStr">
        <is>
          <t>Dimanche</t>
        </is>
      </c>
      <c r="C299" s="8" t="inlineStr">
        <is>
          <t>Vélo</t>
        </is>
      </c>
      <c r="D299" s="5" t="inlineStr">
        <is>
          <t>Sortie longue — 300' (140.0 km)</t>
        </is>
      </c>
      <c r="E299" s="3" t="n">
        <v>300</v>
      </c>
      <c r="F299" s="5" t="inlineStr">
        <is>
          <t>Z2-Z3</t>
        </is>
      </c>
      <c r="G299" s="3" t="n">
        <v>6</v>
      </c>
      <c r="H299" s="6">
        <f>"300' Z2 (127-140 bpm / "&amp;IF(FTP&gt;0,TEXT(ROUND(FTP*60/500,0)*5,"0"),"?")&amp;"-"&amp;IF(FTP&gt;0,TEXT(ROUND(FTP*70/500,0)*5,"0"),"?")&amp;" W"&amp;")"&amp;CHAR(10)&amp;"Cadence 85-92 rpm"&amp;CHAR(10)&amp;"NUTRITION : 70g glucides/h si &gt;60'"</f>
        <v/>
      </c>
      <c r="I299" s="3" t="n"/>
      <c r="J299" s="3" t="n">
        <v>140</v>
      </c>
      <c r="K299" s="3" t="n"/>
    </row>
    <row r="300" ht="24" customHeight="1" s="159">
      <c r="A300" s="175" t="n">
        <v>46425</v>
      </c>
      <c r="B300" s="3" t="inlineStr">
        <is>
          <t>Dimanche</t>
        </is>
      </c>
      <c r="C300" s="7" t="inlineStr">
        <is>
          <t>Course</t>
        </is>
      </c>
      <c r="D300" s="5" t="inlineStr">
        <is>
          <t>CAP en Brick — 20'</t>
        </is>
      </c>
      <c r="E300" s="3" t="n">
        <v>20</v>
      </c>
      <c r="F300" s="5" t="inlineStr">
        <is>
          <t>Z2-Z3</t>
        </is>
      </c>
      <c r="G300" s="3" t="n">
        <v>4</v>
      </c>
      <c r="H300" s="6" t="inlineStr">
        <is>
          <t>Transition directe après vélo — 20' @ Z2-Z3 (127-155 bpm)
Adaptation transition vélo→CAP</t>
        </is>
      </c>
      <c r="I300" s="3" t="n">
        <v>3.5</v>
      </c>
      <c r="J300" s="3" t="n"/>
      <c r="K300" s="3" t="n"/>
    </row>
    <row r="301" ht="60" customHeight="1" s="159">
      <c r="A301" s="175" t="n">
        <v>46425</v>
      </c>
      <c r="B301" s="3" t="inlineStr">
        <is>
          <t>Dimanche</t>
        </is>
      </c>
      <c r="C301" s="9" t="inlineStr">
        <is>
          <t>Natation</t>
        </is>
      </c>
      <c r="D301" s="5" t="inlineStr">
        <is>
          <t>Natation récupération</t>
        </is>
      </c>
      <c r="E301" s="3" t="n">
        <v>71</v>
      </c>
      <c r="F301" s="5" t="inlineStr">
        <is>
          <t>-</t>
        </is>
      </c>
      <c r="G301" s="3" t="n">
        <v>2</v>
      </c>
      <c r="H301" s="6" t="inlineStr">
        <is>
          <t>Échauffement : 200 m souple (110-126 bpm)
Série : 21 x 100 m technique, nage relâchée (110-120 bpm) — repos 30 s + 50 m souple
Retour au calme : 50 m souple
Consigne : séance de récupération : relâchement, amplitude, aucune recherche de vitesse
Total : 2400 m</t>
        </is>
      </c>
      <c r="I301" s="3" t="n"/>
      <c r="J301" s="3" t="n"/>
      <c r="K301" s="3" t="n">
        <v>2400</v>
      </c>
    </row>
    <row r="302" ht="15" customHeight="1" s="159">
      <c r="A302" s="10" t="n"/>
      <c r="B302" s="10" t="n"/>
      <c r="C302" s="10" t="n"/>
      <c r="D302" s="10" t="n"/>
      <c r="E302" s="10" t="n"/>
      <c r="F302" s="10" t="n"/>
      <c r="G302" s="10" t="n"/>
      <c r="H302" s="11" t="inlineStr">
        <is>
          <t>TOTAL SEMAINE</t>
        </is>
      </c>
      <c r="I302" s="10">
        <f>SUM(I289:I301)</f>
        <v/>
      </c>
      <c r="J302" s="10">
        <f>SUM(J289:J301)</f>
        <v/>
      </c>
      <c r="K302" s="10">
        <f>SUM(K289:K301)</f>
        <v/>
      </c>
    </row>
    <row r="303" ht="15" customHeight="1" s="159">
      <c r="A303" s="146" t="inlineStr">
        <is>
          <t xml:space="preserve">  S24 — 08/02/2027 → 14/02/2027   |     Phase 3 — WE Paris 13/02</t>
        </is>
      </c>
    </row>
    <row r="304" ht="24" customHeight="1" s="159">
      <c r="A304" s="175" t="n">
        <v>46426</v>
      </c>
      <c r="B304" s="3" t="inlineStr">
        <is>
          <t>Lundi</t>
        </is>
      </c>
      <c r="C304" s="4" t="inlineStr">
        <is>
          <t>Repos</t>
        </is>
      </c>
      <c r="D304" s="5" t="inlineStr">
        <is>
          <t>OFF</t>
        </is>
      </c>
      <c r="E304" s="3" t="inlineStr">
        <is>
          <t>-</t>
        </is>
      </c>
      <c r="F304" s="5" t="inlineStr">
        <is>
          <t>-</t>
        </is>
      </c>
      <c r="G304" s="3" t="n">
        <v>1</v>
      </c>
      <c r="H304" s="6" t="inlineStr">
        <is>
          <t>Repos complet</t>
        </is>
      </c>
      <c r="I304" s="3" t="n"/>
      <c r="J304" s="3" t="n"/>
      <c r="K304" s="3" t="n"/>
    </row>
    <row r="305" ht="108" customHeight="1" s="159">
      <c r="A305" s="175" t="n">
        <v>46427</v>
      </c>
      <c r="B305" s="3" t="inlineStr">
        <is>
          <t>Mardi</t>
        </is>
      </c>
      <c r="C305" s="7" t="inlineStr">
        <is>
          <t>Course</t>
        </is>
      </c>
      <c r="D305" s="5" t="inlineStr">
        <is>
          <t>Qualité — 2km/1km x4 (Tempo / allure IM)</t>
        </is>
      </c>
      <c r="E305" s="3" t="n">
        <v>81</v>
      </c>
      <c r="F305" s="5" t="inlineStr">
        <is>
          <t>Z3-Z4</t>
        </is>
      </c>
      <c r="G305" s="3" t="n">
        <v>7</v>
      </c>
      <c r="H305" s="6" t="inlineStr">
        <is>
          <t>Objectif : spécificité Ironman : relances au-dessus de l'allure IM puis retour à l'allure IM (150-155 bpm), sans récupération
13' EF Z2 (127-140 bpm)
4 x [2 km à 85% FC max (165 bpm) + 1 km à allure IM (150-155 bpm)]
enchaînés, sans récupération
8' EF Z2 (127-140 bpm)</t>
        </is>
      </c>
      <c r="I305" s="3" t="n">
        <v>15.5</v>
      </c>
      <c r="J305" s="3" t="n"/>
      <c r="K305" s="3" t="n"/>
    </row>
    <row r="306" ht="24" customHeight="1" s="159">
      <c r="A306" s="175" t="n">
        <v>46427</v>
      </c>
      <c r="B306" s="3" t="inlineStr">
        <is>
          <t>Mardi</t>
        </is>
      </c>
      <c r="C306" s="8" t="inlineStr">
        <is>
          <t>Vélo</t>
        </is>
      </c>
      <c r="D306" s="5" t="inlineStr">
        <is>
          <t>Vélo récupération Z1</t>
        </is>
      </c>
      <c r="E306" s="3" t="n">
        <v>56</v>
      </c>
      <c r="F306" s="5" t="inlineStr">
        <is>
          <t>Z2</t>
        </is>
      </c>
      <c r="G306" s="3" t="n">
        <v>2</v>
      </c>
      <c r="H306" s="6">
        <f>"56' Z1 très facile (&lt; 127 bpm / "&amp;IF(FTP&gt;0,TEXT(ROUND(FTP*50/500,0)*5,"0"),"?")&amp;"-"&amp;IF(FTP&gt;0,TEXT(ROUND(FTP*55/500,0)*5,"0"),"?")&amp;" W"&amp;") — récupération active"&amp;CHAR(10)&amp;"Cadence souple 85-90 rpm"</f>
        <v/>
      </c>
      <c r="I306" s="3" t="n"/>
      <c r="J306" s="3" t="n">
        <v>26</v>
      </c>
      <c r="K306" s="3" t="n"/>
    </row>
    <row r="307" ht="72" customHeight="1" s="159">
      <c r="A307" s="175" t="n">
        <v>46428</v>
      </c>
      <c r="B307" s="3" t="inlineStr">
        <is>
          <t>Mercredi</t>
        </is>
      </c>
      <c r="C307" s="9" t="inlineStr">
        <is>
          <t>Natation</t>
        </is>
      </c>
      <c r="D307" s="5" t="inlineStr">
        <is>
          <t>Natation endurance (optionnelle)</t>
        </is>
      </c>
      <c r="E307" s="3" t="n">
        <v>69</v>
      </c>
      <c r="F307" s="5" t="inlineStr">
        <is>
          <t>-</t>
        </is>
      </c>
      <c r="G307" s="3" t="n">
        <v>4</v>
      </c>
      <c r="H307" s="6" t="inlineStr">
        <is>
          <t>Échauffement : 200 m souple (110-126 bpm, 2:25/100 m)
Série principale : 7 x 300 m à allure soutenue (135-148 bpm, 2:08/100 m) — repos 20 s + 200 m à la suite, même allure
Retour au calme : 200 m souple (110-126 bpm)
Consigne : allure constante sur chaque répétition ; sighting toutes les 6-8 cycles de bras
Total : 2700 m</t>
        </is>
      </c>
      <c r="I307" s="3" t="n"/>
      <c r="J307" s="3" t="n"/>
      <c r="K307" s="3" t="n">
        <v>2700</v>
      </c>
    </row>
    <row r="308" ht="72" customHeight="1" s="159">
      <c r="A308" s="175" t="n">
        <v>46428</v>
      </c>
      <c r="B308" s="3" t="inlineStr">
        <is>
          <t>Mercredi</t>
        </is>
      </c>
      <c r="C308" s="8" t="inlineStr">
        <is>
          <t>Vélo</t>
        </is>
      </c>
      <c r="D308" s="5" t="inlineStr">
        <is>
          <t>Vélo clé — VO2 6x4' @ 112% FTP — r=4'</t>
        </is>
      </c>
      <c r="E308" s="3" t="n">
        <v>150</v>
      </c>
      <c r="F308" s="5" t="inlineStr">
        <is>
          <t>Z5</t>
        </is>
      </c>
      <c r="G308" s="3" t="n">
        <v>8</v>
      </c>
      <c r="H308" s="6">
        <f>"40' EF Z2 (127-140 bpm / "&amp;IF(FTP&gt;0,TEXT(ROUND(FTP*60/500,0)*5,"0"),"?")&amp;"-"&amp;IF(FTP&gt;0,TEXT(ROUND(FTP*70/500,0)*5,"0"),"?")&amp;" W"&amp;") dont 3 ouvertures de 30'' à 90% FC max ("&amp;IF(FTP&gt;0,TEXT(ROUND(FTP*120/500,0)*5,"0"),"?")&amp;" W"&amp;") | 6x4' @ 112% FTP ("&amp;IF(FTP&gt;0,TEXT(ROUND(FTP*112/500,0)*5,"0"),"?")&amp;" W"&amp;" — 186 bpm en fin de répétition) — r=4' Z1 | 56' EF Z2 (127-140 bpm / "&amp;IF(FTP&gt;0,TEXT(ROUND(FTP*60/500,0)*5,"0"),"?")&amp;"-"&amp;IF(FTP&gt;0,TEXT(ROUND(FTP*70/500,0)*5,"0"),"?")&amp;" W"&amp;")"&amp;CHAR(10)&amp;"Objectif : puissance aérobie maximale (VO2max), intervalles courts"&amp;CHAR(10)&amp;"FC fin de répétition : 184-194 bpm (95-100% FC max) | Cadence : 90-100 rpm | RPE 8-9/10"&amp;CHAR(10)&amp;"NUTRITION : 70g glucides/h si &gt;90'"&amp;CHAR(10)&amp;"10' RC (127-140 bpm / "&amp;IF(FTP&gt;0,TEXT(ROUND(FTP*60/500,0)*5,"0"),"?")&amp;"-"&amp;IF(FTP&gt;0,TEXT(ROUND(FTP*70/500,0)*5,"0"),"?")&amp;" W"&amp;")"</f>
        <v/>
      </c>
      <c r="I308" s="3" t="n"/>
      <c r="J308" s="3" t="n">
        <v>70</v>
      </c>
      <c r="K308" s="3" t="n"/>
    </row>
    <row r="309" ht="24" customHeight="1" s="159">
      <c r="A309" s="175" t="n">
        <v>46429</v>
      </c>
      <c r="B309" s="3" t="inlineStr">
        <is>
          <t>Jeudi</t>
        </is>
      </c>
      <c r="C309" s="7" t="inlineStr">
        <is>
          <t>Course</t>
        </is>
      </c>
      <c r="D309" s="5" t="inlineStr">
        <is>
          <t>EF Z2</t>
        </is>
      </c>
      <c r="E309" s="3" t="n">
        <v>89</v>
      </c>
      <c r="F309" s="5" t="inlineStr">
        <is>
          <t>Z2</t>
        </is>
      </c>
      <c r="G309" s="3" t="n">
        <v>4</v>
      </c>
      <c r="H309" s="6" t="inlineStr">
        <is>
          <t>89' EF Z2 (127-140 bpm)
Allure facile, cadence naturelle</t>
        </is>
      </c>
      <c r="I309" s="3" t="n">
        <v>14.5</v>
      </c>
      <c r="J309" s="3" t="n"/>
      <c r="K309" s="3" t="n"/>
    </row>
    <row r="310" ht="60" customHeight="1" s="159">
      <c r="A310" s="175" t="n">
        <v>46429</v>
      </c>
      <c r="B310" s="3" t="inlineStr">
        <is>
          <t>Jeudi</t>
        </is>
      </c>
      <c r="C310" s="9" t="inlineStr">
        <is>
          <t>Natation</t>
        </is>
      </c>
      <c r="D310" s="5" t="inlineStr">
        <is>
          <t>Natation récupération</t>
        </is>
      </c>
      <c r="E310" s="3" t="n">
        <v>79</v>
      </c>
      <c r="F310" s="5" t="inlineStr">
        <is>
          <t>-</t>
        </is>
      </c>
      <c r="G310" s="3" t="n">
        <v>2</v>
      </c>
      <c r="H310" s="6" t="inlineStr">
        <is>
          <t>Échauffement : 200 m souple (110-126 bpm)
Série : 24 x 100 m technique, nage relâchée (110-120 bpm) — repos 30 s + 50 m souple
Retour au calme : 50 m souple
Consigne : séance de récupération : relâchement, amplitude, aucune recherche de vitesse
Total : 2700 m</t>
        </is>
      </c>
      <c r="I310" s="3" t="n"/>
      <c r="J310" s="3" t="n"/>
      <c r="K310" s="3" t="n">
        <v>2700</v>
      </c>
    </row>
    <row r="311" ht="24" customHeight="1" s="159">
      <c r="A311" s="175" t="n">
        <v>46430</v>
      </c>
      <c r="B311" s="3" t="inlineStr">
        <is>
          <t>Vendredi</t>
        </is>
      </c>
      <c r="C311" s="7" t="inlineStr">
        <is>
          <t>Course</t>
        </is>
      </c>
      <c r="D311" s="5" t="inlineStr">
        <is>
          <t>EF Z2 — court</t>
        </is>
      </c>
      <c r="E311" s="3" t="n">
        <v>33</v>
      </c>
      <c r="F311" s="5" t="inlineStr">
        <is>
          <t>Z1-Z2</t>
        </is>
      </c>
      <c r="G311" s="3" t="n">
        <v>2</v>
      </c>
      <c r="H311" s="6" t="inlineStr">
        <is>
          <t>33' EF Z1-Z2 (120-135 bpm) — COURT
Vraie récup — pas de strides</t>
        </is>
      </c>
      <c r="I311" s="3" t="n">
        <v>5</v>
      </c>
      <c r="J311" s="3" t="n"/>
      <c r="K311" s="3" t="n"/>
    </row>
    <row r="312" ht="60" customHeight="1" s="159">
      <c r="A312" s="175" t="n">
        <v>46430</v>
      </c>
      <c r="B312" s="3" t="inlineStr">
        <is>
          <t>Vendredi</t>
        </is>
      </c>
      <c r="C312" s="8" t="inlineStr">
        <is>
          <t>Vélo</t>
        </is>
      </c>
      <c r="D312" s="5" t="inlineStr">
        <is>
          <t>Force spécifique</t>
        </is>
      </c>
      <c r="E312" s="3" t="n">
        <v>122</v>
      </c>
      <c r="F312" s="5" t="inlineStr">
        <is>
          <t>Z2-Z3</t>
        </is>
      </c>
      <c r="G312" s="3" t="n">
        <v>5</v>
      </c>
      <c r="H312" s="6">
        <f>"80' EF (127-140 bpm / "&amp;IF(FTP&gt;0,TEXT(ROUND(FTP*60/500,0)*5,"0"),"?")&amp;"-"&amp;IF(FTP&gt;0,TEXT(ROUND(FTP*70/500,0)*5,"0"),"?")&amp;" W"&amp;") | 5x4'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70g glucides/h si &gt;90'"&amp;CHAR(10)&amp;"10' RC (127-140 bpm / "&amp;IF(FTP&gt;0,TEXT(ROUND(FTP*60/500,0)*5,"0"),"?")&amp;"-"&amp;IF(FTP&gt;0,TEXT(ROUND(FTP*70/500,0)*5,"0"),"?")&amp;" W"&amp;")"</f>
        <v/>
      </c>
      <c r="I312" s="3" t="n"/>
      <c r="J312" s="3" t="n">
        <v>57</v>
      </c>
      <c r="K312" s="3" t="n"/>
    </row>
    <row r="313" ht="36" customHeight="1" s="159">
      <c r="A313" s="175" t="n">
        <v>46431</v>
      </c>
      <c r="B313" s="3" t="inlineStr">
        <is>
          <t>Samedi</t>
        </is>
      </c>
      <c r="C313" s="7" t="inlineStr">
        <is>
          <t>Course</t>
        </is>
      </c>
      <c r="D313" s="5" t="inlineStr">
        <is>
          <t>SORTIE LONGUE Z2 — 142' (23 km)</t>
        </is>
      </c>
      <c r="E313" s="3" t="n">
        <v>142</v>
      </c>
      <c r="F313" s="5" t="inlineStr">
        <is>
          <t>Z2</t>
        </is>
      </c>
      <c r="G313" s="3" t="n">
        <v>6</v>
      </c>
      <c r="H313" s="6" t="inlineStr">
        <is>
          <t>142' Z2 (127-140 bpm) — allure conversationnelle
Cadence régulière
Gel à 45' et 90'</t>
        </is>
      </c>
      <c r="I313" s="3" t="n">
        <v>23</v>
      </c>
      <c r="J313" s="3" t="n"/>
      <c r="K313" s="3" t="n"/>
    </row>
    <row r="314" ht="36" customHeight="1" s="159">
      <c r="A314" s="175" t="n">
        <v>46432</v>
      </c>
      <c r="B314" s="3" t="inlineStr">
        <is>
          <t>Dimanche</t>
        </is>
      </c>
      <c r="C314" s="8" t="inlineStr">
        <is>
          <t>Vélo</t>
        </is>
      </c>
      <c r="D314" s="5" t="inlineStr">
        <is>
          <t>Sortie longue — 311' (145.0 km)</t>
        </is>
      </c>
      <c r="E314" s="3" t="n">
        <v>311</v>
      </c>
      <c r="F314" s="5" t="inlineStr">
        <is>
          <t>Z2-Z3</t>
        </is>
      </c>
      <c r="G314" s="3" t="n">
        <v>6</v>
      </c>
      <c r="H314" s="6">
        <f>"311' Z2 (127-140 bpm / "&amp;IF(FTP&gt;0,TEXT(ROUND(FTP*60/500,0)*5,"0"),"?")&amp;"-"&amp;IF(FTP&gt;0,TEXT(ROUND(FTP*70/500,0)*5,"0"),"?")&amp;" W"&amp;")"&amp;CHAR(10)&amp;"Cadence 85-92 rpm"&amp;CHAR(10)&amp;"NUTRITION : 70g glucides/h si &gt;60'"</f>
        <v/>
      </c>
      <c r="I314" s="3" t="n"/>
      <c r="J314" s="3" t="n">
        <v>145</v>
      </c>
      <c r="K314" s="3" t="n"/>
    </row>
    <row r="315" ht="15" customHeight="1" s="159">
      <c r="A315" s="10" t="n"/>
      <c r="B315" s="10" t="n"/>
      <c r="C315" s="10" t="n"/>
      <c r="D315" s="10" t="n"/>
      <c r="E315" s="10" t="n"/>
      <c r="F315" s="10" t="n"/>
      <c r="G315" s="10" t="n"/>
      <c r="H315" s="11" t="inlineStr">
        <is>
          <t>TOTAL SEMAINE</t>
        </is>
      </c>
      <c r="I315" s="10">
        <f>SUM(I304:I314)</f>
        <v/>
      </c>
      <c r="J315" s="10">
        <f>SUM(J304:J314)</f>
        <v/>
      </c>
      <c r="K315" s="10">
        <f>SUM(K304:K314)</f>
        <v/>
      </c>
    </row>
    <row r="316" ht="60" customHeight="1" s="159">
      <c r="A316" s="153" t="inlineStr">
        <is>
          <t xml:space="preserve">  S25 — 15/02/2027 → 21/02/2027   |     Phase 4 — Spécifique IM</t>
        </is>
      </c>
    </row>
    <row r="317" ht="24" customHeight="1" s="159">
      <c r="A317" s="175" t="n">
        <v>46433</v>
      </c>
      <c r="B317" s="3" t="inlineStr">
        <is>
          <t>Lundi</t>
        </is>
      </c>
      <c r="C317" s="4" t="inlineStr">
        <is>
          <t>Repos</t>
        </is>
      </c>
      <c r="D317" s="5" t="inlineStr">
        <is>
          <t>OFF</t>
        </is>
      </c>
      <c r="E317" s="3" t="inlineStr">
        <is>
          <t>-</t>
        </is>
      </c>
      <c r="F317" s="5" t="inlineStr">
        <is>
          <t>-</t>
        </is>
      </c>
      <c r="G317" s="3" t="n">
        <v>1</v>
      </c>
      <c r="H317" s="6" t="inlineStr">
        <is>
          <t>Repos complet</t>
        </is>
      </c>
      <c r="I317" s="3" t="n"/>
      <c r="J317" s="3" t="n"/>
      <c r="K317" s="3" t="n"/>
    </row>
    <row r="318" ht="144" customHeight="1" s="159">
      <c r="A318" s="175" t="n">
        <v>46434</v>
      </c>
      <c r="B318" s="3" t="inlineStr">
        <is>
          <t>Mardi</t>
        </is>
      </c>
      <c r="C318" s="7" t="inlineStr">
        <is>
          <t>Course</t>
        </is>
      </c>
      <c r="D318" s="5" t="inlineStr">
        <is>
          <t>Qualité — 30-20-10 (SV1 / SV1+ / Allure IM)</t>
        </is>
      </c>
      <c r="E318" s="3" t="n">
        <v>80</v>
      </c>
      <c r="F318" s="5" t="inlineStr">
        <is>
          <t>Z3</t>
        </is>
      </c>
      <c r="G318" s="3" t="n">
        <v>6</v>
      </c>
      <c r="H318" s="6" t="inlineStr">
        <is>
          <t>Objectif : durabilité : finir à l'allure IM après SV1 → SV1+ — répéter le ravitaillement : 30 g de glucides
8' EF Z2 (127-140 bpm)
30' SV1 (155-165 bpm)
3' de repos
20' SV1+ (165-171 bpm)
3' de repos
10' Allure IM (150-155 bpm)
6' EF Z2 (127-140 bpm)</t>
        </is>
      </c>
      <c r="I318" s="3" t="n">
        <v>14.5</v>
      </c>
      <c r="J318" s="3" t="n"/>
      <c r="K318" s="3" t="n"/>
    </row>
    <row r="319" ht="24" customHeight="1" s="159">
      <c r="A319" s="175" t="n">
        <v>46434</v>
      </c>
      <c r="B319" s="3" t="inlineStr">
        <is>
          <t>Mardi</t>
        </is>
      </c>
      <c r="C319" s="8" t="inlineStr">
        <is>
          <t>Vélo</t>
        </is>
      </c>
      <c r="D319" s="5" t="inlineStr">
        <is>
          <t>Vélo récupération Z1</t>
        </is>
      </c>
      <c r="E319" s="3" t="n">
        <v>58</v>
      </c>
      <c r="F319" s="5" t="inlineStr">
        <is>
          <t>Z2</t>
        </is>
      </c>
      <c r="G319" s="3" t="n">
        <v>2</v>
      </c>
      <c r="H319" s="6">
        <f>"58' Z1 très facile (&lt; 127 bpm / "&amp;IF(FTP&gt;0,TEXT(ROUND(FTP*50/500,0)*5,"0"),"?")&amp;"-"&amp;IF(FTP&gt;0,TEXT(ROUND(FTP*55/500,0)*5,"0"),"?")&amp;" W"&amp;") — récupération active"&amp;CHAR(10)&amp;"Cadence souple 85-90 rpm"</f>
        <v/>
      </c>
      <c r="I319" s="3" t="n"/>
      <c r="J319" s="3" t="n">
        <v>27</v>
      </c>
      <c r="K319" s="3" t="n"/>
    </row>
    <row r="320" ht="60" customHeight="1" s="159">
      <c r="A320" s="175" t="n">
        <v>46435</v>
      </c>
      <c r="B320" s="3" t="inlineStr">
        <is>
          <t>Mercredi</t>
        </is>
      </c>
      <c r="C320" s="8" t="inlineStr">
        <is>
          <t>Vélo</t>
        </is>
      </c>
      <c r="D320" s="5" t="inlineStr">
        <is>
          <t>Vélo clé — 2x33' @ 90% FTP — r=5'</t>
        </is>
      </c>
      <c r="E320" s="3" t="n">
        <v>159</v>
      </c>
      <c r="F320" s="5" t="inlineStr">
        <is>
          <t>Z3</t>
        </is>
      </c>
      <c r="G320" s="3" t="n">
        <v>6</v>
      </c>
      <c r="H320" s="6">
        <f>"78' EF Z2 (127-140 bpm / "&amp;IF(FTP&gt;0,TEXT(ROUND(FTP*60/500,0)*5,"0"),"?")&amp;"-"&amp;IF(FTP&gt;0,TEXT(ROUND(FTP*70/500,0)*5,"0"),"?")&amp;" W"&amp;") | 2x33' @ 90% FTP ("&amp;IF(FTP&gt;0,TEXT(ROUND(FTP*90/500,0)*5,"0"),"?")&amp;" W"&amp;") — r=5'"&amp;CHAR(10)&amp;"Objectif : travailler juste sous le seuil lactique (sweet spot)"&amp;CHAR(10)&amp;"FC bloc cible : ~163 bpm (84% FC max = ton seuil lactique) | Cadence : 87-93 rpm | RPE 6-7/10"&amp;CHAR(10)&amp;"NUTRITION : 80g glucides/h si &gt;90'"&amp;CHAR(10)&amp;"10' RC (127-140 bpm / "&amp;IF(FTP&gt;0,TEXT(ROUND(FTP*60/500,0)*5,"0"),"?")&amp;"-"&amp;IF(FTP&gt;0,TEXT(ROUND(FTP*70/500,0)*5,"0"),"?")&amp;" W"&amp;")"</f>
        <v/>
      </c>
      <c r="I320" s="3" t="n"/>
      <c r="J320" s="3" t="n">
        <v>74</v>
      </c>
      <c r="K320" s="3" t="n"/>
    </row>
    <row r="321" ht="24" customHeight="1" s="159">
      <c r="A321" s="175" t="n">
        <v>46436</v>
      </c>
      <c r="B321" s="3" t="inlineStr">
        <is>
          <t>Jeudi</t>
        </is>
      </c>
      <c r="C321" s="7" t="inlineStr">
        <is>
          <t>Course</t>
        </is>
      </c>
      <c r="D321" s="5" t="inlineStr">
        <is>
          <t>EF Z2</t>
        </is>
      </c>
      <c r="E321" s="3" t="n">
        <v>83</v>
      </c>
      <c r="F321" s="5" t="inlineStr">
        <is>
          <t>Z2</t>
        </is>
      </c>
      <c r="G321" s="3" t="n">
        <v>4</v>
      </c>
      <c r="H321" s="6" t="inlineStr">
        <is>
          <t>83' EF Z2 (127-140 bpm)
Allure facile, cadence naturelle</t>
        </is>
      </c>
      <c r="I321" s="3" t="n">
        <v>13.5</v>
      </c>
      <c r="J321" s="3" t="n"/>
      <c r="K321" s="3" t="n"/>
    </row>
    <row r="322" ht="96" customHeight="1" s="159">
      <c r="A322" s="175" t="n">
        <v>46436</v>
      </c>
      <c r="B322" s="3" t="inlineStr">
        <is>
          <t>Jeudi</t>
        </is>
      </c>
      <c r="C322" s="9" t="inlineStr">
        <is>
          <t>Natation</t>
        </is>
      </c>
      <c r="D322" s="5" t="inlineStr">
        <is>
          <t>Natation seuil + soutenu</t>
        </is>
      </c>
      <c r="E322" s="3" t="n">
        <v>72</v>
      </c>
      <c r="F322" s="5" t="inlineStr">
        <is>
          <t>-</t>
        </is>
      </c>
      <c r="G322" s="3" t="n">
        <v>6</v>
      </c>
      <c r="H322" s="6" t="inlineStr">
        <is>
          <t>Échauffement : 200 m souple (110-126 bpm, 2:23/100 m)
Série seuil : 10 x 100 m à l'allure CSS (150-160 bpm, 2:03/100 m) — repos 15 s
Série soutenue : 6 x 200 m à allure soutenue (135-148 bpm, 2:06/100 m) — repos 20 s + 150 m à la suite, même allure
Retour au calme : 200 m souple (110-126 bpm)
Consigne : seuil = effort dur mais régulier, même chrono sur chaque 100 m ; sighting toutes les 6-8 cycles de bras
Total : 2750 m</t>
        </is>
      </c>
      <c r="I322" s="3" t="n"/>
      <c r="J322" s="3" t="n"/>
      <c r="K322" s="3" t="n">
        <v>2750</v>
      </c>
    </row>
    <row r="323" ht="24" customHeight="1" s="159">
      <c r="A323" s="175" t="n">
        <v>46437</v>
      </c>
      <c r="B323" s="3" t="inlineStr">
        <is>
          <t>Vendredi</t>
        </is>
      </c>
      <c r="C323" s="7" t="inlineStr">
        <is>
          <t>Course</t>
        </is>
      </c>
      <c r="D323" s="5" t="inlineStr">
        <is>
          <t>EF Z2 — court</t>
        </is>
      </c>
      <c r="E323" s="3" t="n">
        <v>33</v>
      </c>
      <c r="F323" s="5" t="inlineStr">
        <is>
          <t>Z1-Z2</t>
        </is>
      </c>
      <c r="G323" s="3" t="n">
        <v>2</v>
      </c>
      <c r="H323" s="6" t="inlineStr">
        <is>
          <t>33' EF Z1-Z2 (120-135 bpm) — COURT
Vraie récup — pas de strides</t>
        </is>
      </c>
      <c r="I323" s="3" t="n">
        <v>5</v>
      </c>
      <c r="J323" s="3" t="n"/>
      <c r="K323" s="3" t="n"/>
    </row>
    <row r="324" ht="60" customHeight="1" s="159">
      <c r="A324" s="175" t="n">
        <v>46437</v>
      </c>
      <c r="B324" s="3" t="inlineStr">
        <is>
          <t>Vendredi</t>
        </is>
      </c>
      <c r="C324" s="8" t="inlineStr">
        <is>
          <t>Vélo</t>
        </is>
      </c>
      <c r="D324" s="5" t="inlineStr">
        <is>
          <t>Force spécifique</t>
        </is>
      </c>
      <c r="E324" s="3" t="n">
        <v>131</v>
      </c>
      <c r="F324" s="5" t="inlineStr">
        <is>
          <t>Z2-Z3</t>
        </is>
      </c>
      <c r="G324" s="3" t="n">
        <v>5</v>
      </c>
      <c r="H324" s="6">
        <f>"89' EF (127-140 bpm / "&amp;IF(FTP&gt;0,TEXT(ROUND(FTP*60/500,0)*5,"0"),"?")&amp;"-"&amp;IF(FTP&gt;0,TEXT(ROUND(FTP*70/500,0)*5,"0"),"?")&amp;" W"&amp;") | 5x4'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80g glucides/h si &gt;90'"&amp;CHAR(10)&amp;"10' RC (127-140 bpm / "&amp;IF(FTP&gt;0,TEXT(ROUND(FTP*60/500,0)*5,"0"),"?")&amp;"-"&amp;IF(FTP&gt;0,TEXT(ROUND(FTP*70/500,0)*5,"0"),"?")&amp;" W"&amp;")"</f>
        <v/>
      </c>
      <c r="I324" s="3" t="n"/>
      <c r="J324" s="3" t="n">
        <v>61</v>
      </c>
      <c r="K324" s="3" t="n"/>
    </row>
    <row r="325" ht="84" customHeight="1" s="159">
      <c r="A325" s="175" t="n">
        <v>46438</v>
      </c>
      <c r="B325" s="3" t="inlineStr">
        <is>
          <t>Samedi</t>
        </is>
      </c>
      <c r="C325" s="9" t="inlineStr">
        <is>
          <t>Natation</t>
        </is>
      </c>
      <c r="D325" s="5" t="inlineStr">
        <is>
          <t>Natation technique + bloc IM</t>
        </is>
      </c>
      <c r="E325" s="3" t="n">
        <v>105</v>
      </c>
      <c r="F325" s="5" t="inlineStr">
        <is>
          <t>-</t>
        </is>
      </c>
      <c r="G325" s="3" t="n">
        <v>5</v>
      </c>
      <c r="H325" s="6" t="inlineStr">
        <is>
          <t>Échauffement : 4 x 50 m facile (108-117 bpm) — repos 30 s
Éducatifs : 8 x 50 m (catch-up, finger drag, sighting) — repos 30 s
Bloc continu : 1800 m à allure IM, sans arrêt (135-148 bpm, 2:09/100 m) — sighting toutes les 6-8 cycles de bras
Pull buoy : 13 x 100 m (135-148 bpm, 2:06/100 m) — repos 30 s
Retour au calme : 200 m souple (110-126 bpm)
Total : 3900 m</t>
        </is>
      </c>
      <c r="I325" s="3" t="n"/>
      <c r="J325" s="3" t="n"/>
      <c r="K325" s="3" t="n">
        <v>3900</v>
      </c>
    </row>
    <row r="326" ht="48" customHeight="1" s="159">
      <c r="A326" s="175" t="n">
        <v>46438</v>
      </c>
      <c r="B326" s="3" t="inlineStr">
        <is>
          <t>Samedi</t>
        </is>
      </c>
      <c r="C326" s="7" t="inlineStr">
        <is>
          <t>Course</t>
        </is>
      </c>
      <c r="D326" s="5" t="inlineStr">
        <is>
          <t>SORTIE LONGUE Z2 + fin allure IM — 148' (24 km)</t>
        </is>
      </c>
      <c r="E326" s="3" t="n">
        <v>148</v>
      </c>
      <c r="F326" s="5" t="inlineStr">
        <is>
          <t>Z2-Z3</t>
        </is>
      </c>
      <c r="G326" s="3" t="n">
        <v>6</v>
      </c>
      <c r="H326" s="6" t="inlineStr">
        <is>
          <t>128' Z2 (127-140 bpm) | 15' allure IM (150-155 bpm) | 5' Z2 retour au calme
Bloc allure IM dans le dernier tiers, jambes fatiguées : c'est la fatigue qui fait le travail, pas la vitesse
Nutrition : gel à 45', 90' et 135'</t>
        </is>
      </c>
      <c r="I326" s="3" t="n">
        <v>24</v>
      </c>
      <c r="J326" s="3" t="n"/>
      <c r="K326" s="3" t="n"/>
    </row>
    <row r="327" ht="36" customHeight="1" s="159">
      <c r="A327" s="175" t="n">
        <v>46439</v>
      </c>
      <c r="B327" s="3" t="inlineStr">
        <is>
          <t>Dimanche</t>
        </is>
      </c>
      <c r="C327" s="8" t="inlineStr">
        <is>
          <t>Vélo</t>
        </is>
      </c>
      <c r="D327" s="5" t="inlineStr">
        <is>
          <t>Sortie longue — 321' (150.0 km)</t>
        </is>
      </c>
      <c r="E327" s="3" t="n">
        <v>321</v>
      </c>
      <c r="F327" s="5" t="inlineStr">
        <is>
          <t>Z2-Z3</t>
        </is>
      </c>
      <c r="G327" s="3" t="n">
        <v>6</v>
      </c>
      <c r="H327" s="6">
        <f>"321' Z2 (127-140 bpm / "&amp;IF(FTP&gt;0,TEXT(ROUND(FTP*60/500,0)*5,"0"),"?")&amp;"-"&amp;IF(FTP&gt;0,TEXT(ROUND(FTP*70/500,0)*5,"0"),"?")&amp;" W"&amp;")"&amp;CHAR(10)&amp;"Cadence 85-92 rpm"&amp;CHAR(10)&amp;"NUTRITION : 80g glucides/h si &gt;60'"</f>
        <v/>
      </c>
      <c r="I327" s="3" t="n"/>
      <c r="J327" s="3" t="n">
        <v>150</v>
      </c>
      <c r="K327" s="3" t="n"/>
    </row>
    <row r="328" ht="24" customHeight="1" s="159">
      <c r="A328" s="175" t="n">
        <v>46439</v>
      </c>
      <c r="B328" s="3" t="inlineStr">
        <is>
          <t>Dimanche</t>
        </is>
      </c>
      <c r="C328" s="7" t="inlineStr">
        <is>
          <t>Course</t>
        </is>
      </c>
      <c r="D328" s="5" t="inlineStr">
        <is>
          <t>CAP en Brick — 25'</t>
        </is>
      </c>
      <c r="E328" s="3" t="n">
        <v>25</v>
      </c>
      <c r="F328" s="5" t="inlineStr">
        <is>
          <t>Z2-Z3</t>
        </is>
      </c>
      <c r="G328" s="3" t="n">
        <v>4</v>
      </c>
      <c r="H328" s="6" t="inlineStr">
        <is>
          <t>Transition directe après vélo — 25' @ Z2-Z3 (127-155 bpm)
Adaptation transition vélo→CAP</t>
        </is>
      </c>
      <c r="I328" s="3" t="n">
        <v>4.5</v>
      </c>
      <c r="J328" s="3" t="n"/>
      <c r="K328" s="3" t="n"/>
    </row>
    <row r="329" ht="60" customHeight="1" s="159">
      <c r="A329" s="175" t="n">
        <v>46439</v>
      </c>
      <c r="B329" s="3" t="inlineStr">
        <is>
          <t>Dimanche</t>
        </is>
      </c>
      <c r="C329" s="9" t="inlineStr">
        <is>
          <t>Natation</t>
        </is>
      </c>
      <c r="D329" s="5" t="inlineStr">
        <is>
          <t>Natation récupération</t>
        </is>
      </c>
      <c r="E329" s="3" t="n">
        <v>72</v>
      </c>
      <c r="F329" s="5" t="inlineStr">
        <is>
          <t>-</t>
        </is>
      </c>
      <c r="G329" s="3" t="n">
        <v>2</v>
      </c>
      <c r="H329" s="6" t="inlineStr">
        <is>
          <t>Échauffement : 200 m souple (110-126 bpm)
Série : 22 x 100 m technique, nage relâchée (110-120 bpm) — repos 30 s
Retour au calme : 50 m souple
Consigne : séance de récupération : relâchement, amplitude, aucune recherche de vitesse
Total : 2450 m</t>
        </is>
      </c>
      <c r="I329" s="3" t="n"/>
      <c r="J329" s="3" t="n"/>
      <c r="K329" s="3" t="n">
        <v>2450</v>
      </c>
    </row>
    <row r="330" ht="15" customHeight="1" s="159">
      <c r="A330" s="10" t="n"/>
      <c r="B330" s="10" t="n"/>
      <c r="C330" s="10" t="n"/>
      <c r="D330" s="10" t="n"/>
      <c r="E330" s="10" t="n"/>
      <c r="F330" s="10" t="n"/>
      <c r="G330" s="10" t="n"/>
      <c r="H330" s="11" t="inlineStr">
        <is>
          <t>TOTAL SEMAINE</t>
        </is>
      </c>
      <c r="I330" s="10">
        <f>SUM(I317:I329)</f>
        <v/>
      </c>
      <c r="J330" s="10">
        <f>SUM(J317:J329)</f>
        <v/>
      </c>
      <c r="K330" s="10">
        <f>SUM(K317:K329)</f>
        <v/>
      </c>
    </row>
    <row r="331" ht="15" customHeight="1" s="159">
      <c r="A331" s="151" t="inlineStr">
        <is>
          <t xml:space="preserve">  S26 — 22/02/2027 → 28/02/2027   |     Phase 4 — Spécifique IM</t>
        </is>
      </c>
    </row>
    <row r="332" ht="15" customHeight="1" s="159">
      <c r="A332" s="175" t="n">
        <v>46440</v>
      </c>
      <c r="B332" s="3" t="inlineStr">
        <is>
          <t>Lundi</t>
        </is>
      </c>
      <c r="C332" s="4" t="inlineStr">
        <is>
          <t>Repos</t>
        </is>
      </c>
      <c r="D332" s="5" t="inlineStr">
        <is>
          <t>OFF</t>
        </is>
      </c>
      <c r="E332" s="3" t="inlineStr">
        <is>
          <t>-</t>
        </is>
      </c>
      <c r="F332" s="5" t="inlineStr">
        <is>
          <t>-</t>
        </is>
      </c>
      <c r="G332" s="3" t="n">
        <v>1</v>
      </c>
      <c r="H332" s="6" t="inlineStr">
        <is>
          <t>Repos complet</t>
        </is>
      </c>
      <c r="I332" s="3" t="n"/>
      <c r="J332" s="3" t="n"/>
      <c r="K332" s="3" t="n"/>
    </row>
    <row r="333" ht="156" customHeight="1" s="159">
      <c r="A333" s="175" t="n">
        <v>46441</v>
      </c>
      <c r="B333" s="3" t="inlineStr">
        <is>
          <t>Mardi</t>
        </is>
      </c>
      <c r="C333" s="7" t="inlineStr">
        <is>
          <t>Course</t>
        </is>
      </c>
      <c r="D333" s="5" t="inlineStr">
        <is>
          <t>Qualité — 3000m progressif x4 (83→90%)</t>
        </is>
      </c>
      <c r="E333" s="3" t="n">
        <v>92</v>
      </c>
      <c r="F333" s="5" t="inlineStr">
        <is>
          <t>Z3-Z4</t>
        </is>
      </c>
      <c r="G333" s="3" t="n">
        <v>7</v>
      </c>
      <c r="H333" s="6" t="inlineStr">
        <is>
          <t>Objectif : puissance aérobie, seuil SV2 (blocs longs progressifs)
13' EF Z2 (127-140 bpm) + 2-3 lignes droites
3000m à 83% (161 bpm)
3000m à 85% (165 bpm)
3000m à 87% (169 bpm)
3000m à 90% (175 bpm)
4' de repos entre reps
9' EF Z2 (127-140 bpm)
Nutrition : gel à 45'</t>
        </is>
      </c>
      <c r="I333" s="3" t="n">
        <v>16.5</v>
      </c>
      <c r="J333" s="3" t="n"/>
      <c r="K333" s="3" t="n"/>
    </row>
    <row r="334" ht="24" customHeight="1" s="159">
      <c r="A334" s="175" t="n">
        <v>46441</v>
      </c>
      <c r="B334" s="3" t="inlineStr">
        <is>
          <t>Mardi</t>
        </is>
      </c>
      <c r="C334" s="8" t="inlineStr">
        <is>
          <t>Vélo</t>
        </is>
      </c>
      <c r="D334" s="5" t="inlineStr">
        <is>
          <t>Vélo récupération Z1</t>
        </is>
      </c>
      <c r="E334" s="3" t="n">
        <v>60</v>
      </c>
      <c r="F334" s="5" t="inlineStr">
        <is>
          <t>Z2</t>
        </is>
      </c>
      <c r="G334" s="3" t="n">
        <v>2</v>
      </c>
      <c r="H334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334" s="3" t="n"/>
      <c r="J334" s="3" t="n">
        <v>28</v>
      </c>
      <c r="K334" s="3" t="n"/>
    </row>
    <row r="335" ht="72" customHeight="1" s="159">
      <c r="A335" s="175" t="n">
        <v>46442</v>
      </c>
      <c r="B335" s="3" t="inlineStr">
        <is>
          <t>Mercredi</t>
        </is>
      </c>
      <c r="C335" s="8" t="inlineStr">
        <is>
          <t>Vélo</t>
        </is>
      </c>
      <c r="D335" s="5" t="inlineStr">
        <is>
          <t>Vélo clé — Bloc allure IM 2x40' (136-146 bpm) — r=5'</t>
        </is>
      </c>
      <c r="E335" s="3" t="n">
        <v>167</v>
      </c>
      <c r="F335" s="5" t="inlineStr">
        <is>
          <t>Z2-Z3</t>
        </is>
      </c>
      <c r="G335" s="3" t="n">
        <v>6</v>
      </c>
      <c r="H335" s="6">
        <f>"72' EF Z2 (127-140 bpm / "&amp;IF(FTP&gt;0,TEXT(ROUND(FTP*60/500,0)*5,"0"),"?")&amp;"-"&amp;IF(FTP&gt;0,TEXT(ROUND(FTP*70/500,0)*5,"0"),"?")&amp;" W"&amp;") | 2x40' allure IM (136-146 bpm, 70-75% FC max / "&amp;IF(FTP&gt;0,TEXT(ROUND(FTP*70/500,0)*5,"0"),"?")&amp;"-"&amp;IF(FTP&gt;0,TEXT(ROUND(FTP*75/500,0)*5,"0"),"?")&amp;" W"&amp;") — r=5'"&amp;CHAR(10)&amp;"Objectif : spécificité Ironman : rouler à l'effort de course et répéter le ravitaillement"&amp;CHAR(10)&amp;"FC bloc cible : 136-146 bpm (70-75% FC max) | Cadence : 85-92 rpm | RPE 5-6/10"&amp;CHAR(10)&amp;"NUTRITION : 80g glucides/h si &gt;90'"&amp;CHAR(10)&amp;"10' RC (127-140 bpm / "&amp;IF(FTP&gt;0,TEXT(ROUND(FTP*60/500,0)*5,"0"),"?")&amp;"-"&amp;IF(FTP&gt;0,TEXT(ROUND(FTP*70/500,0)*5,"0"),"?")&amp;" W"&amp;")"</f>
        <v/>
      </c>
      <c r="I335" s="3" t="n"/>
      <c r="J335" s="3" t="n">
        <v>78</v>
      </c>
      <c r="K335" s="3" t="n"/>
    </row>
    <row r="336" ht="36" customHeight="1" s="159">
      <c r="A336" s="175" t="n">
        <v>46443</v>
      </c>
      <c r="B336" s="3" t="inlineStr">
        <is>
          <t>Jeudi</t>
        </is>
      </c>
      <c r="C336" s="7" t="inlineStr">
        <is>
          <t>Course</t>
        </is>
      </c>
      <c r="D336" s="5" t="inlineStr">
        <is>
          <t>EF Z2</t>
        </is>
      </c>
      <c r="E336" s="3" t="n">
        <v>92</v>
      </c>
      <c r="F336" s="5" t="inlineStr">
        <is>
          <t>Z2</t>
        </is>
      </c>
      <c r="G336" s="3" t="n">
        <v>4</v>
      </c>
      <c r="H336" s="6" t="inlineStr">
        <is>
          <t>92' EF Z2 (127-140 bpm)
Allure facile, cadence naturelle
Nutrition : gel à 45'</t>
        </is>
      </c>
      <c r="I336" s="3" t="n">
        <v>15</v>
      </c>
      <c r="J336" s="3" t="n"/>
      <c r="K336" s="3" t="n"/>
    </row>
    <row r="337" ht="60" customHeight="1" s="159">
      <c r="A337" s="175" t="n">
        <v>46443</v>
      </c>
      <c r="B337" s="3" t="inlineStr">
        <is>
          <t>Jeudi</t>
        </is>
      </c>
      <c r="C337" s="9" t="inlineStr">
        <is>
          <t>Natation</t>
        </is>
      </c>
      <c r="D337" s="5" t="inlineStr">
        <is>
          <t>Natation endurance</t>
        </is>
      </c>
      <c r="E337" s="3" t="n">
        <v>70</v>
      </c>
      <c r="F337" s="5" t="inlineStr">
        <is>
          <t>-</t>
        </is>
      </c>
      <c r="G337" s="3" t="n">
        <v>4</v>
      </c>
      <c r="H337" s="6" t="inlineStr">
        <is>
          <t>Échauffement : 200 m souple (110-126 bpm, 2:23/100 m)
Série principale : 8 x 300 m à allure soutenue (135-148 bpm, 2:06/100 m) — repos 20 s
Retour au calme : 200 m souple (110-126 bpm)
Consigne : allure constante sur chaque répétition ; sighting toutes les 6-8 cycles de bras
Total : 2800 m</t>
        </is>
      </c>
      <c r="I337" s="3" t="n"/>
      <c r="J337" s="3" t="n"/>
      <c r="K337" s="3" t="n">
        <v>2800</v>
      </c>
    </row>
    <row r="338" ht="24" customHeight="1" s="159">
      <c r="A338" s="175" t="n">
        <v>46444</v>
      </c>
      <c r="B338" s="3" t="inlineStr">
        <is>
          <t>Vendredi</t>
        </is>
      </c>
      <c r="C338" s="7" t="inlineStr">
        <is>
          <t>Course</t>
        </is>
      </c>
      <c r="D338" s="5" t="inlineStr">
        <is>
          <t>EF Z2 — court</t>
        </is>
      </c>
      <c r="E338" s="3" t="n">
        <v>33</v>
      </c>
      <c r="F338" s="5" t="inlineStr">
        <is>
          <t>Z1-Z2</t>
        </is>
      </c>
      <c r="G338" s="3" t="n">
        <v>2</v>
      </c>
      <c r="H338" s="6" t="inlineStr">
        <is>
          <t>33' EF Z1-Z2 (120-135 bpm) — COURT
Vraie récup — pas de strides</t>
        </is>
      </c>
      <c r="I338" s="3" t="n">
        <v>5</v>
      </c>
      <c r="J338" s="3" t="n"/>
      <c r="K338" s="3" t="n"/>
    </row>
    <row r="339" ht="60" customHeight="1" s="159">
      <c r="A339" s="175" t="n">
        <v>46444</v>
      </c>
      <c r="B339" s="3" t="inlineStr">
        <is>
          <t>Vendredi</t>
        </is>
      </c>
      <c r="C339" s="8" t="inlineStr">
        <is>
          <t>Vélo</t>
        </is>
      </c>
      <c r="D339" s="5" t="inlineStr">
        <is>
          <t>Force spécifique</t>
        </is>
      </c>
      <c r="E339" s="3" t="n">
        <v>137</v>
      </c>
      <c r="F339" s="5" t="inlineStr">
        <is>
          <t>Z2-Z3</t>
        </is>
      </c>
      <c r="G339" s="3" t="n">
        <v>5</v>
      </c>
      <c r="H339" s="6">
        <f>"95' EF (127-140 bpm / "&amp;IF(FTP&gt;0,TEXT(ROUND(FTP*60/500,0)*5,"0"),"?")&amp;"-"&amp;IF(FTP&gt;0,TEXT(ROUND(FTP*70/500,0)*5,"0"),"?")&amp;" W"&amp;") | 5x4'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80g glucides/h si &gt;90'"&amp;CHAR(10)&amp;"10' RC (127-140 bpm / "&amp;IF(FTP&gt;0,TEXT(ROUND(FTP*60/500,0)*5,"0"),"?")&amp;"-"&amp;IF(FTP&gt;0,TEXT(ROUND(FTP*70/500,0)*5,"0"),"?")&amp;" W"&amp;")"</f>
        <v/>
      </c>
      <c r="I339" s="3" t="n"/>
      <c r="J339" s="3" t="n">
        <v>64</v>
      </c>
      <c r="K339" s="3" t="n"/>
    </row>
    <row r="340" ht="84" customHeight="1" s="159">
      <c r="A340" s="175" t="n">
        <v>46445</v>
      </c>
      <c r="B340" s="3" t="inlineStr">
        <is>
          <t>Samedi</t>
        </is>
      </c>
      <c r="C340" s="9" t="inlineStr">
        <is>
          <t>Natation</t>
        </is>
      </c>
      <c r="D340" s="5" t="inlineStr">
        <is>
          <t>Natation technique + bloc IM</t>
        </is>
      </c>
      <c r="E340" s="3" t="n">
        <v>105</v>
      </c>
      <c r="F340" s="5" t="inlineStr">
        <is>
          <t>-</t>
        </is>
      </c>
      <c r="G340" s="3" t="n">
        <v>5</v>
      </c>
      <c r="H340" s="6" t="inlineStr">
        <is>
          <t>Échauffement : 4 x 50 m facile (108-117 bpm) — repos 30 s
Éducatifs : 8 x 50 m (catch-up, finger drag, sighting) — repos 30 s
Bloc continu : 2000 m à allure IM, sans arrêt (135-148 bpm, 2:09/100 m) — sighting toutes les 6-8 cycles de bras
Pull buoy : 11 x 100 m (135-148 bpm, 2:06/100 m) — repos 30 s + 50 m à la suite
Retour au calme : 200 m souple (110-126 bpm)
Total : 3950 m</t>
        </is>
      </c>
      <c r="I340" s="3" t="n"/>
      <c r="J340" s="3" t="n"/>
      <c r="K340" s="3" t="n">
        <v>3950</v>
      </c>
    </row>
    <row r="341" ht="36" customHeight="1" s="159">
      <c r="A341" s="175" t="n">
        <v>46445</v>
      </c>
      <c r="B341" s="3" t="inlineStr">
        <is>
          <t>Samedi</t>
        </is>
      </c>
      <c r="C341" s="7" t="inlineStr">
        <is>
          <t>Course</t>
        </is>
      </c>
      <c r="D341" s="5" t="inlineStr">
        <is>
          <t>SORTIE LONGUE Z2 — 154' (25 km)</t>
        </is>
      </c>
      <c r="E341" s="3" t="n">
        <v>154</v>
      </c>
      <c r="F341" s="5" t="inlineStr">
        <is>
          <t>Z2</t>
        </is>
      </c>
      <c r="G341" s="3" t="n">
        <v>6</v>
      </c>
      <c r="H341" s="6" t="inlineStr">
        <is>
          <t>154' Z2 (127-140 bpm) — allure conversationnelle
Cadence régulière
Gel à 45', 90' et 135'</t>
        </is>
      </c>
      <c r="I341" s="3" t="n">
        <v>25</v>
      </c>
      <c r="J341" s="3" t="n"/>
      <c r="K341" s="3" t="n"/>
    </row>
    <row r="342" ht="36" customHeight="1" s="159">
      <c r="A342" s="175" t="n">
        <v>46446</v>
      </c>
      <c r="B342" s="3" t="inlineStr">
        <is>
          <t>Dimanche</t>
        </is>
      </c>
      <c r="C342" s="8" t="inlineStr">
        <is>
          <t>Vélo</t>
        </is>
      </c>
      <c r="D342" s="5" t="inlineStr">
        <is>
          <t>Sortie longue — 332' (155.0 km)</t>
        </is>
      </c>
      <c r="E342" s="3" t="n">
        <v>332</v>
      </c>
      <c r="F342" s="5" t="inlineStr">
        <is>
          <t>Z2-Z3</t>
        </is>
      </c>
      <c r="G342" s="3" t="n">
        <v>6</v>
      </c>
      <c r="H342" s="6">
        <f>"332' Z2 (127-140 bpm / "&amp;IF(FTP&gt;0,TEXT(ROUND(FTP*60/500,0)*5,"0"),"?")&amp;"-"&amp;IF(FTP&gt;0,TEXT(ROUND(FTP*70/500,0)*5,"0"),"?")&amp;" W"&amp;")"&amp;CHAR(10)&amp;"Cadence 85-92 rpm"&amp;CHAR(10)&amp;"NUTRITION : 80g glucides/h si &gt;60'"</f>
        <v/>
      </c>
      <c r="I342" s="3" t="n"/>
      <c r="J342" s="3" t="n">
        <v>155</v>
      </c>
      <c r="K342" s="3" t="n"/>
    </row>
    <row r="343" ht="24" customHeight="1" s="159">
      <c r="A343" s="175" t="n">
        <v>46446</v>
      </c>
      <c r="B343" s="3" t="inlineStr">
        <is>
          <t>Dimanche</t>
        </is>
      </c>
      <c r="C343" s="7" t="inlineStr">
        <is>
          <t>Course</t>
        </is>
      </c>
      <c r="D343" s="5" t="inlineStr">
        <is>
          <t>CAP en Brick — 25'</t>
        </is>
      </c>
      <c r="E343" s="3" t="n">
        <v>25</v>
      </c>
      <c r="F343" s="5" t="inlineStr">
        <is>
          <t>Z2-Z3</t>
        </is>
      </c>
      <c r="G343" s="3" t="n">
        <v>4</v>
      </c>
      <c r="H343" s="6" t="inlineStr">
        <is>
          <t>Transition directe après vélo — 25' @ Z2-Z3 (127-155 bpm)
Adaptation transition vélo→CAP</t>
        </is>
      </c>
      <c r="I343" s="3" t="n">
        <v>4.5</v>
      </c>
      <c r="J343" s="3" t="n"/>
      <c r="K343" s="3" t="n"/>
    </row>
    <row r="344" ht="60" customHeight="1" s="159">
      <c r="A344" s="175" t="n">
        <v>46446</v>
      </c>
      <c r="B344" s="3" t="inlineStr">
        <is>
          <t>Dimanche</t>
        </is>
      </c>
      <c r="C344" s="9" t="inlineStr">
        <is>
          <t>Natation</t>
        </is>
      </c>
      <c r="D344" s="5" t="inlineStr">
        <is>
          <t>Natation récupération</t>
        </is>
      </c>
      <c r="E344" s="3" t="n">
        <v>73</v>
      </c>
      <c r="F344" s="5" t="inlineStr">
        <is>
          <t>-</t>
        </is>
      </c>
      <c r="G344" s="3" t="n">
        <v>2</v>
      </c>
      <c r="H344" s="6" t="inlineStr">
        <is>
          <t>Échauffement : 200 m souple (110-126 bpm)
Série : 22 x 100 m technique, nage relâchée (110-120 bpm) — repos 30 s + 50 m souple
Retour au calme : 50 m souple
Consigne : séance de récupération : relâchement, amplitude, aucune recherche de vitesse
Total : 2500 m</t>
        </is>
      </c>
      <c r="I344" s="3" t="n"/>
      <c r="J344" s="3" t="n"/>
      <c r="K344" s="3" t="n">
        <v>2500</v>
      </c>
    </row>
    <row r="345" ht="15" customHeight="1" s="159">
      <c r="A345" s="10" t="n"/>
      <c r="B345" s="10" t="n"/>
      <c r="C345" s="10" t="n"/>
      <c r="D345" s="10" t="n"/>
      <c r="E345" s="10" t="n"/>
      <c r="F345" s="10" t="n"/>
      <c r="G345" s="10" t="n"/>
      <c r="H345" s="11" t="inlineStr">
        <is>
          <t>TOTAL SEMAINE</t>
        </is>
      </c>
      <c r="I345" s="10">
        <f>SUM(I332:I344)</f>
        <v/>
      </c>
      <c r="J345" s="10">
        <f>SUM(J332:J344)</f>
        <v/>
      </c>
      <c r="K345" s="10">
        <f>SUM(K332:K344)</f>
        <v/>
      </c>
    </row>
    <row r="346" ht="36" customHeight="1" s="159">
      <c r="A346" s="146" t="inlineStr">
        <is>
          <t xml:space="preserve">  S27 — 01/03/2027 → 07/03/2027   |     Semaine Ski Alpin</t>
        </is>
      </c>
    </row>
    <row r="347" ht="36" customHeight="1" s="159">
      <c r="A347" s="175" t="n">
        <v>46447</v>
      </c>
      <c r="B347" s="3" t="inlineStr">
        <is>
          <t>Lundi</t>
        </is>
      </c>
      <c r="C347" s="4" t="inlineStr">
        <is>
          <t>Repos</t>
        </is>
      </c>
      <c r="D347" s="5" t="inlineStr">
        <is>
          <t>Voyage / Installation</t>
        </is>
      </c>
      <c r="E347" s="3" t="inlineStr">
        <is>
          <t>-</t>
        </is>
      </c>
      <c r="F347" s="5" t="inlineStr">
        <is>
          <t>-</t>
        </is>
      </c>
      <c r="G347" s="3" t="n">
        <v>1</v>
      </c>
      <c r="H347" s="6" t="inlineStr">
        <is>
          <t>Voyage aller — repos complet</t>
        </is>
      </c>
      <c r="I347" s="3" t="n"/>
      <c r="J347" s="3" t="n"/>
      <c r="K347" s="3" t="n"/>
    </row>
    <row r="348" ht="36" customHeight="1" s="159">
      <c r="A348" s="175" t="n">
        <v>46448</v>
      </c>
      <c r="B348" s="3" t="inlineStr">
        <is>
          <t>Mardi</t>
        </is>
      </c>
      <c r="C348" s="14" t="inlineStr">
        <is>
          <t>Ski</t>
        </is>
      </c>
      <c r="D348" s="5" t="inlineStr">
        <is>
          <t>Ski alpin</t>
        </is>
      </c>
      <c r="E348" s="3" t="n">
        <v>360</v>
      </c>
      <c r="F348" s="5" t="inlineStr">
        <is>
          <t>Aérobie</t>
        </is>
      </c>
      <c r="G348" s="3" t="n">
        <v>5</v>
      </c>
      <c r="H348" s="6" t="inlineStr">
        <is>
          <t>Journée ski alpin
Proprioception, gainage, cardio, force
Récupération mentale — pas de triathlon</t>
        </is>
      </c>
      <c r="I348" s="3" t="n"/>
      <c r="J348" s="3" t="n"/>
      <c r="K348" s="3" t="n"/>
    </row>
    <row r="349" ht="36" customHeight="1" s="159">
      <c r="A349" s="175" t="n">
        <v>46449</v>
      </c>
      <c r="B349" s="3" t="inlineStr">
        <is>
          <t>Mercredi</t>
        </is>
      </c>
      <c r="C349" s="14" t="inlineStr">
        <is>
          <t>Ski</t>
        </is>
      </c>
      <c r="D349" s="5" t="inlineStr">
        <is>
          <t>Ski alpin</t>
        </is>
      </c>
      <c r="E349" s="3" t="n">
        <v>360</v>
      </c>
      <c r="F349" s="5" t="inlineStr">
        <is>
          <t>Aérobie</t>
        </is>
      </c>
      <c r="G349" s="3" t="n">
        <v>5</v>
      </c>
      <c r="H349" s="6" t="inlineStr">
        <is>
          <t>Journée ski alpin
Proprioception, gainage, cardio, force
Récupération mentale — pas de triathlon</t>
        </is>
      </c>
      <c r="I349" s="3" t="n"/>
      <c r="J349" s="3" t="n"/>
      <c r="K349" s="3" t="n"/>
    </row>
    <row r="350" ht="36" customHeight="1" s="159">
      <c r="A350" s="175" t="n">
        <v>46450</v>
      </c>
      <c r="B350" s="3" t="inlineStr">
        <is>
          <t>Jeudi</t>
        </is>
      </c>
      <c r="C350" s="14" t="inlineStr">
        <is>
          <t>Ski</t>
        </is>
      </c>
      <c r="D350" s="5" t="inlineStr">
        <is>
          <t>Ski alpin</t>
        </is>
      </c>
      <c r="E350" s="3" t="n">
        <v>360</v>
      </c>
      <c r="F350" s="5" t="inlineStr">
        <is>
          <t>Aérobie</t>
        </is>
      </c>
      <c r="G350" s="3" t="n">
        <v>5</v>
      </c>
      <c r="H350" s="6" t="inlineStr">
        <is>
          <t>Journée ski alpin
Proprioception, gainage, cardio, force
Récupération mentale — pas de triathlon</t>
        </is>
      </c>
      <c r="I350" s="3" t="n"/>
      <c r="J350" s="3" t="n"/>
      <c r="K350" s="3" t="n"/>
    </row>
    <row r="351" ht="36" customHeight="1" s="159">
      <c r="A351" s="175" t="n">
        <v>46451</v>
      </c>
      <c r="B351" s="3" t="inlineStr">
        <is>
          <t>Vendredi</t>
        </is>
      </c>
      <c r="C351" s="14" t="inlineStr">
        <is>
          <t>Ski</t>
        </is>
      </c>
      <c r="D351" s="5" t="inlineStr">
        <is>
          <t>Ski alpin</t>
        </is>
      </c>
      <c r="E351" s="3" t="n">
        <v>360</v>
      </c>
      <c r="F351" s="5" t="inlineStr">
        <is>
          <t>Aérobie</t>
        </is>
      </c>
      <c r="G351" s="3" t="n">
        <v>5</v>
      </c>
      <c r="H351" s="6" t="inlineStr">
        <is>
          <t>Journée ski alpin
Proprioception, gainage, cardio, force
Récupération mentale — pas de triathlon</t>
        </is>
      </c>
      <c r="I351" s="3" t="n"/>
      <c r="J351" s="3" t="n"/>
      <c r="K351" s="3" t="n"/>
    </row>
    <row r="352" ht="36" customHeight="1" s="159">
      <c r="A352" s="175" t="n">
        <v>46452</v>
      </c>
      <c r="B352" s="3" t="inlineStr">
        <is>
          <t>Samedi</t>
        </is>
      </c>
      <c r="C352" s="14" t="inlineStr">
        <is>
          <t>Ski</t>
        </is>
      </c>
      <c r="D352" s="5" t="inlineStr">
        <is>
          <t>Ski alpin</t>
        </is>
      </c>
      <c r="E352" s="3" t="n">
        <v>360</v>
      </c>
      <c r="F352" s="5" t="inlineStr">
        <is>
          <t>Aérobie</t>
        </is>
      </c>
      <c r="G352" s="3" t="n">
        <v>5</v>
      </c>
      <c r="H352" s="6" t="inlineStr">
        <is>
          <t>Journée ski alpin
Proprioception, gainage, cardio, force
Récupération mentale — pas de triathlon</t>
        </is>
      </c>
      <c r="I352" s="3" t="n"/>
      <c r="J352" s="3" t="n"/>
      <c r="K352" s="3" t="n"/>
    </row>
    <row r="353" ht="48" customHeight="1" s="159">
      <c r="A353" s="175" t="n">
        <v>46453</v>
      </c>
      <c r="B353" s="3" t="inlineStr">
        <is>
          <t>Dimanche</t>
        </is>
      </c>
      <c r="C353" s="4" t="inlineStr">
        <is>
          <t>Repos</t>
        </is>
      </c>
      <c r="D353" s="5" t="inlineStr">
        <is>
          <t>Retour / Repos</t>
        </is>
      </c>
      <c r="E353" s="3" t="inlineStr">
        <is>
          <t>-</t>
        </is>
      </c>
      <c r="F353" s="5" t="inlineStr">
        <is>
          <t>-</t>
        </is>
      </c>
      <c r="G353" s="3" t="n">
        <v>1</v>
      </c>
      <c r="H353" s="6" t="inlineStr">
        <is>
          <t>Voyage retour — repos
Jambes chargées — reprise douce</t>
        </is>
      </c>
      <c r="I353" s="3" t="n"/>
      <c r="J353" s="3" t="n"/>
      <c r="K353" s="3" t="n"/>
    </row>
    <row r="354" ht="15" customHeight="1" s="159">
      <c r="A354" s="10" t="n"/>
      <c r="B354" s="10" t="n"/>
      <c r="C354" s="10" t="n"/>
      <c r="D354" s="10" t="n"/>
      <c r="E354" s="10" t="n"/>
      <c r="F354" s="10" t="n"/>
      <c r="G354" s="10" t="n"/>
      <c r="H354" s="11" t="inlineStr">
        <is>
          <t>TOTAL SEMAINE</t>
        </is>
      </c>
      <c r="I354" s="10">
        <f>SUM(I347:I353)</f>
        <v/>
      </c>
      <c r="J354" s="10">
        <f>SUM(J347:J353)</f>
        <v/>
      </c>
      <c r="K354" s="10">
        <f>SUM(K347:K353)</f>
        <v/>
      </c>
    </row>
    <row r="355" ht="36" customHeight="1" s="159">
      <c r="A355" s="146" t="inlineStr">
        <is>
          <t xml:space="preserve">  S28 — 08/03/2027 → 14/03/2027   |     Transition post-ski</t>
        </is>
      </c>
    </row>
    <row r="356" ht="24" customHeight="1" s="159">
      <c r="A356" s="175" t="n">
        <v>46454</v>
      </c>
      <c r="B356" s="3" t="inlineStr">
        <is>
          <t>Lundi</t>
        </is>
      </c>
      <c r="C356" s="4" t="inlineStr">
        <is>
          <t>Repos</t>
        </is>
      </c>
      <c r="D356" s="5" t="inlineStr">
        <is>
          <t>OFF</t>
        </is>
      </c>
      <c r="E356" s="3" t="inlineStr">
        <is>
          <t>-</t>
        </is>
      </c>
      <c r="F356" s="5" t="inlineStr">
        <is>
          <t>-</t>
        </is>
      </c>
      <c r="G356" s="3" t="n">
        <v>1</v>
      </c>
      <c r="H356" s="6" t="inlineStr">
        <is>
          <t>Repos complet</t>
        </is>
      </c>
      <c r="I356" s="3" t="n"/>
      <c r="J356" s="3" t="n"/>
      <c r="K356" s="3" t="n"/>
    </row>
    <row r="357" ht="84" customHeight="1" s="159">
      <c r="A357" s="175" t="n">
        <v>46455</v>
      </c>
      <c r="B357" s="3" t="inlineStr">
        <is>
          <t>Mardi</t>
        </is>
      </c>
      <c r="C357" s="7" t="inlineStr">
        <is>
          <t>Course</t>
        </is>
      </c>
      <c r="D357" s="5" t="inlineStr">
        <is>
          <t>Tempo — Jog progressif 54'</t>
        </is>
      </c>
      <c r="E357" s="3" t="n">
        <v>54</v>
      </c>
      <c r="F357" s="5" t="inlineStr">
        <is>
          <t>Z2-Z3</t>
        </is>
      </c>
      <c r="G357" s="3" t="n">
        <v>5</v>
      </c>
      <c r="H357" s="6" t="inlineStr">
        <is>
          <t>Objectif : endurance aérobie active, allure progressive (70 → 80% FC max) — reprise post-ski
18' à 70-72% FC max (136-140 bpm)
18' à 74-77% (144-149 bpm)
18' à 78-80% (151-155 bpm)
(un seul bloc continu, la progression se fait à la FC)</t>
        </is>
      </c>
      <c r="I357" s="3" t="n">
        <v>9.5</v>
      </c>
      <c r="J357" s="3" t="n"/>
      <c r="K357" s="3" t="n"/>
    </row>
    <row r="358" ht="24" customHeight="1" s="159">
      <c r="A358" s="175" t="n">
        <v>46455</v>
      </c>
      <c r="B358" s="3" t="inlineStr">
        <is>
          <t>Mardi</t>
        </is>
      </c>
      <c r="C358" s="8" t="inlineStr">
        <is>
          <t>Vélo</t>
        </is>
      </c>
      <c r="D358" s="5" t="inlineStr">
        <is>
          <t>Vélo récupération Z1</t>
        </is>
      </c>
      <c r="E358" s="3" t="n">
        <v>51</v>
      </c>
      <c r="F358" s="5" t="inlineStr">
        <is>
          <t>Z2</t>
        </is>
      </c>
      <c r="G358" s="3" t="n">
        <v>2</v>
      </c>
      <c r="H358" s="6">
        <f>"51' Z1 très facile (&lt; 127 bpm / "&amp;IF(FTP&gt;0,TEXT(ROUND(FTP*50/500,0)*5,"0"),"?")&amp;"-"&amp;IF(FTP&gt;0,TEXT(ROUND(FTP*55/500,0)*5,"0"),"?")&amp;" W"&amp;") — récupération active"&amp;CHAR(10)&amp;"Cadence souple 85-90 rpm"</f>
        <v/>
      </c>
      <c r="I358" s="3" t="n"/>
      <c r="J358" s="3" t="n">
        <v>24</v>
      </c>
      <c r="K358" s="3" t="n"/>
    </row>
    <row r="359" ht="36" customHeight="1" s="159">
      <c r="A359" s="175" t="n">
        <v>46456</v>
      </c>
      <c r="B359" s="3" t="inlineStr">
        <is>
          <t>Mercredi</t>
        </is>
      </c>
      <c r="C359" s="8" t="inlineStr">
        <is>
          <t>Vélo</t>
        </is>
      </c>
      <c r="D359" s="5" t="inlineStr">
        <is>
          <t>Vélo Z2 — reprise en douceur</t>
        </is>
      </c>
      <c r="E359" s="3" t="n">
        <v>120</v>
      </c>
      <c r="F359" s="5" t="inlineStr">
        <is>
          <t>Z2</t>
        </is>
      </c>
      <c r="G359" s="3" t="n">
        <v>3</v>
      </c>
      <c r="H359" s="6">
        <f>"120' Z2 (127-140 bpm / "&amp;IF(FTP&gt;0,TEXT(ROUND(FTP*60/500,0)*5,"0"),"?")&amp;"-"&amp;IF(FTP&gt;0,TEXT(ROUND(FTP*70/500,0)*5,"0"),"?")&amp;" W"&amp;") — pas de bloc FTP cette semaine (reprise post-ski)"&amp;CHAR(10)&amp;"Cadence souple 85-90 rpm"&amp;CHAR(10)&amp;"NUTRITION : 80g glucides/h si &gt;90'"</f>
        <v/>
      </c>
      <c r="I359" s="3" t="n"/>
      <c r="J359" s="3" t="n">
        <v>56</v>
      </c>
      <c r="K359" s="3" t="n"/>
    </row>
    <row r="360" ht="24" customHeight="1" s="159">
      <c r="A360" s="175" t="n">
        <v>46457</v>
      </c>
      <c r="B360" s="3" t="inlineStr">
        <is>
          <t>Jeudi</t>
        </is>
      </c>
      <c r="C360" s="7" t="inlineStr">
        <is>
          <t>Course</t>
        </is>
      </c>
      <c r="D360" s="5" t="inlineStr">
        <is>
          <t>EF Z2</t>
        </is>
      </c>
      <c r="E360" s="3" t="n">
        <v>68</v>
      </c>
      <c r="F360" s="5" t="inlineStr">
        <is>
          <t>Z2</t>
        </is>
      </c>
      <c r="G360" s="3" t="n">
        <v>4</v>
      </c>
      <c r="H360" s="6" t="inlineStr">
        <is>
          <t>68' EF Z2 (127-140 bpm)
Allure facile, cadence naturelle</t>
        </is>
      </c>
      <c r="I360" s="3" t="n">
        <v>11</v>
      </c>
      <c r="J360" s="3" t="n"/>
      <c r="K360" s="3" t="n"/>
    </row>
    <row r="361" ht="72" customHeight="1" s="159">
      <c r="A361" s="175" t="n">
        <v>46457</v>
      </c>
      <c r="B361" s="3" t="inlineStr">
        <is>
          <t>Jeudi</t>
        </is>
      </c>
      <c r="C361" s="9" t="inlineStr">
        <is>
          <t>Natation</t>
        </is>
      </c>
      <c r="D361" s="5" t="inlineStr">
        <is>
          <t>Natation endurance</t>
        </is>
      </c>
      <c r="E361" s="3" t="n">
        <v>57</v>
      </c>
      <c r="F361" s="5" t="inlineStr">
        <is>
          <t>-</t>
        </is>
      </c>
      <c r="G361" s="3" t="n">
        <v>4</v>
      </c>
      <c r="H361" s="6" t="inlineStr">
        <is>
          <t>Échauffement : 200 m souple (110-126 bpm, 2:23/100 m)
Série principale : 6 x 300 m à allure soutenue (135-148 bpm, 2:06/100 m) — repos 20 s + 50 m à la suite, même allure
Retour au calme : 200 m souple (110-126 bpm)
Consigne : allure constante sur chaque répétition ; sighting toutes les 6-8 cycles de bras
Total : 2250 m</t>
        </is>
      </c>
      <c r="I361" s="3" t="n"/>
      <c r="J361" s="3" t="n"/>
      <c r="K361" s="3" t="n">
        <v>2250</v>
      </c>
    </row>
    <row r="362" ht="24" customHeight="1" s="159">
      <c r="A362" s="175" t="n">
        <v>46458</v>
      </c>
      <c r="B362" s="3" t="inlineStr">
        <is>
          <t>Vendredi</t>
        </is>
      </c>
      <c r="C362" s="7" t="inlineStr">
        <is>
          <t>Course</t>
        </is>
      </c>
      <c r="D362" s="5" t="inlineStr">
        <is>
          <t>EF Z2 — court</t>
        </is>
      </c>
      <c r="E362" s="3" t="n">
        <v>33</v>
      </c>
      <c r="F362" s="5" t="inlineStr">
        <is>
          <t>Z1-Z2</t>
        </is>
      </c>
      <c r="G362" s="3" t="n">
        <v>2</v>
      </c>
      <c r="H362" s="6" t="inlineStr">
        <is>
          <t>33' EF Z1-Z2 (120-135 bpm) — COURT
Vraie récup — pas de strides</t>
        </is>
      </c>
      <c r="I362" s="3" t="n">
        <v>5</v>
      </c>
      <c r="J362" s="3" t="n"/>
      <c r="K362" s="3" t="n"/>
    </row>
    <row r="363" ht="36" customHeight="1" s="159">
      <c r="A363" s="175" t="n">
        <v>46458</v>
      </c>
      <c r="B363" s="3" t="inlineStr">
        <is>
          <t>Vendredi</t>
        </is>
      </c>
      <c r="C363" s="8" t="inlineStr">
        <is>
          <t>Vélo</t>
        </is>
      </c>
      <c r="D363" s="5" t="inlineStr">
        <is>
          <t>Vélo Z2 — facile</t>
        </is>
      </c>
      <c r="E363" s="3" t="n">
        <v>96</v>
      </c>
      <c r="F363" s="5" t="inlineStr">
        <is>
          <t>Z2</t>
        </is>
      </c>
      <c r="G363" s="3" t="n">
        <v>2</v>
      </c>
      <c r="H363" s="6">
        <f>"96' Z2 très facile (127-140 bpm / "&amp;IF(FTP&gt;0,TEXT(ROUND(FTP*50/500,0)*5,"0"),"?")&amp;"-"&amp;IF(FTP&gt;0,TEXT(ROUND(FTP*60/500,0)*5,"0"),"?")&amp;" W"&amp;") — pas de travail de force cette semaine"&amp;CHAR(10)&amp;"Cadence souple 85-90 rpm"&amp;CHAR(10)&amp;"NUTRITION : 80g glucides/h si &gt;90'"</f>
        <v/>
      </c>
      <c r="I363" s="3" t="n"/>
      <c r="J363" s="3" t="n">
        <v>45</v>
      </c>
      <c r="K363" s="3" t="n"/>
    </row>
    <row r="364" ht="84" customHeight="1" s="159">
      <c r="A364" s="175" t="n">
        <v>46459</v>
      </c>
      <c r="B364" s="3" t="inlineStr">
        <is>
          <t>Samedi</t>
        </is>
      </c>
      <c r="C364" s="9" t="inlineStr">
        <is>
          <t>Natation</t>
        </is>
      </c>
      <c r="D364" s="5" t="inlineStr">
        <is>
          <t>Natation technique + bloc IM</t>
        </is>
      </c>
      <c r="E364" s="3" t="n">
        <v>82</v>
      </c>
      <c r="F364" s="5" t="inlineStr">
        <is>
          <t>-</t>
        </is>
      </c>
      <c r="G364" s="3" t="n">
        <v>5</v>
      </c>
      <c r="H364" s="6" t="inlineStr">
        <is>
          <t>Échauffement : 4 x 50 m facile (108-117 bpm) — repos 30 s
Éducatifs : 8 x 50 m (catch-up, finger drag, sighting) — repos 30 s
Bloc continu : 1500 m à allure IM, sans arrêt (135-148 bpm, 2:09/100 m) — sighting toutes les 6-8 cycles de bras
Pull buoy : 7 x 100 m (135-148 bpm, 2:06/100 m) — repos 30 s
Retour au calme : 200 m souple (110-126 bpm)
Total : 3000 m</t>
        </is>
      </c>
      <c r="I364" s="3" t="n"/>
      <c r="J364" s="3" t="n"/>
      <c r="K364" s="3" t="n">
        <v>3000</v>
      </c>
    </row>
    <row r="365" ht="36" customHeight="1" s="159">
      <c r="A365" s="175" t="n">
        <v>46459</v>
      </c>
      <c r="B365" s="3" t="inlineStr">
        <is>
          <t>Samedi</t>
        </is>
      </c>
      <c r="C365" s="7" t="inlineStr">
        <is>
          <t>Course</t>
        </is>
      </c>
      <c r="D365" s="5" t="inlineStr">
        <is>
          <t>SORTIE LONGUE Z2 — 111' (18 km)</t>
        </is>
      </c>
      <c r="E365" s="3" t="n">
        <v>111</v>
      </c>
      <c r="F365" s="5" t="inlineStr">
        <is>
          <t>Z2</t>
        </is>
      </c>
      <c r="G365" s="3" t="n">
        <v>6</v>
      </c>
      <c r="H365" s="6" t="inlineStr">
        <is>
          <t>111' Z2 (127-140 bpm)
Allure conversationnelle — reprise, pas de surge Z3
Gel à 45' et 90'</t>
        </is>
      </c>
      <c r="I365" s="3" t="n">
        <v>18</v>
      </c>
      <c r="J365" s="3" t="n"/>
      <c r="K365" s="3" t="n"/>
    </row>
    <row r="366" ht="36" customHeight="1" s="159">
      <c r="A366" s="175" t="n">
        <v>46460</v>
      </c>
      <c r="B366" s="3" t="inlineStr">
        <is>
          <t>Dimanche</t>
        </is>
      </c>
      <c r="C366" s="8" t="inlineStr">
        <is>
          <t>Vélo</t>
        </is>
      </c>
      <c r="D366" s="5" t="inlineStr">
        <is>
          <t>Sortie longue — 246' (115.0 km)</t>
        </is>
      </c>
      <c r="E366" s="3" t="n">
        <v>246</v>
      </c>
      <c r="F366" s="5" t="inlineStr">
        <is>
          <t>Z2-Z3</t>
        </is>
      </c>
      <c r="G366" s="3" t="n">
        <v>6</v>
      </c>
      <c r="H366" s="6">
        <f>"246' Z2 (127-140 bpm / "&amp;IF(FTP&gt;0,TEXT(ROUND(FTP*60/500,0)*5,"0"),"?")&amp;"-"&amp;IF(FTP&gt;0,TEXT(ROUND(FTP*70/500,0)*5,"0"),"?")&amp;" W"&amp;")"&amp;CHAR(10)&amp;"Cadence 85-92 rpm"&amp;CHAR(10)&amp;"NUTRITION : 80g glucides/h si &gt;60'"</f>
        <v/>
      </c>
      <c r="I366" s="3" t="n"/>
      <c r="J366" s="3" t="n">
        <v>115</v>
      </c>
      <c r="K366" s="3" t="n"/>
    </row>
    <row r="367" ht="24" customHeight="1" s="159">
      <c r="A367" s="175" t="n">
        <v>46460</v>
      </c>
      <c r="B367" s="3" t="inlineStr">
        <is>
          <t>Dimanche</t>
        </is>
      </c>
      <c r="C367" s="7" t="inlineStr">
        <is>
          <t>Course</t>
        </is>
      </c>
      <c r="D367" s="5" t="inlineStr">
        <is>
          <t>CAP en Brick — 15'</t>
        </is>
      </c>
      <c r="E367" s="3" t="n">
        <v>15</v>
      </c>
      <c r="F367" s="5" t="inlineStr">
        <is>
          <t>Z2-Z3</t>
        </is>
      </c>
      <c r="G367" s="3" t="n">
        <v>4</v>
      </c>
      <c r="H367" s="6" t="inlineStr">
        <is>
          <t>Transition directe après vélo — 15' @ Z2-Z3 (127-155 bpm)
Adaptation transition vélo→CAP</t>
        </is>
      </c>
      <c r="I367" s="3" t="n">
        <v>2.5</v>
      </c>
      <c r="J367" s="3" t="n"/>
      <c r="K367" s="3" t="n"/>
    </row>
    <row r="368" ht="60" customHeight="1" s="159">
      <c r="A368" s="175" t="n">
        <v>46460</v>
      </c>
      <c r="B368" s="3" t="inlineStr">
        <is>
          <t>Dimanche</t>
        </is>
      </c>
      <c r="C368" s="9" t="inlineStr">
        <is>
          <t>Natation</t>
        </is>
      </c>
      <c r="D368" s="5" t="inlineStr">
        <is>
          <t>Natation récupération</t>
        </is>
      </c>
      <c r="E368" s="3" t="n">
        <v>52</v>
      </c>
      <c r="F368" s="5" t="inlineStr">
        <is>
          <t>-</t>
        </is>
      </c>
      <c r="G368" s="3" t="n">
        <v>2</v>
      </c>
      <c r="H368" s="6" t="inlineStr">
        <is>
          <t>Échauffement : 200 m souple (110-126 bpm)
Série : 15 x 100 m technique, nage relâchée (110-120 bpm) — repos 30 s
Retour au calme : 50 m souple
Consigne : séance de récupération : relâchement, amplitude, aucune recherche de vitesse
Total : 1750 m</t>
        </is>
      </c>
      <c r="I368" s="3" t="n"/>
      <c r="J368" s="3" t="n"/>
      <c r="K368" s="3" t="n">
        <v>1750</v>
      </c>
    </row>
    <row r="369" ht="15" customHeight="1" s="159">
      <c r="A369" s="10" t="n"/>
      <c r="B369" s="10" t="n"/>
      <c r="C369" s="10" t="n"/>
      <c r="D369" s="10" t="n"/>
      <c r="E369" s="10" t="n"/>
      <c r="F369" s="10" t="n"/>
      <c r="G369" s="10" t="n"/>
      <c r="H369" s="11" t="inlineStr">
        <is>
          <t>TOTAL SEMAINE</t>
        </is>
      </c>
      <c r="I369" s="10">
        <f>SUM(I356:I368)</f>
        <v/>
      </c>
      <c r="J369" s="10">
        <f>SUM(J356:J368)</f>
        <v/>
      </c>
      <c r="K369" s="10">
        <f>SUM(K356:K368)</f>
        <v/>
      </c>
    </row>
    <row r="370" ht="24" customHeight="1" s="159">
      <c r="A370" s="146" t="inlineStr">
        <is>
          <t xml:space="preserve">  S29 — 15/03/2027 → 21/03/2027   |     Phase 4 — Spécifique IM</t>
        </is>
      </c>
    </row>
    <row r="371" ht="36" customHeight="1" s="159">
      <c r="A371" s="175" t="n">
        <v>46461</v>
      </c>
      <c r="B371" s="3" t="inlineStr">
        <is>
          <t>Lundi</t>
        </is>
      </c>
      <c r="C371" s="4" t="inlineStr">
        <is>
          <t>Repos</t>
        </is>
      </c>
      <c r="D371" s="5" t="inlineStr">
        <is>
          <t>OFF</t>
        </is>
      </c>
      <c r="E371" s="3" t="inlineStr">
        <is>
          <t>-</t>
        </is>
      </c>
      <c r="F371" s="5" t="inlineStr">
        <is>
          <t>-</t>
        </is>
      </c>
      <c r="G371" s="3" t="n">
        <v>1</v>
      </c>
      <c r="H371" s="6" t="inlineStr">
        <is>
          <t>Repos complet</t>
        </is>
      </c>
      <c r="I371" s="3" t="n"/>
      <c r="J371" s="3" t="n"/>
      <c r="K371" s="3" t="n"/>
    </row>
    <row r="372" ht="144" customHeight="1" s="159">
      <c r="A372" s="175" t="n">
        <v>46462</v>
      </c>
      <c r="B372" s="3" t="inlineStr">
        <is>
          <t>Mardi</t>
        </is>
      </c>
      <c r="C372" s="7" t="inlineStr">
        <is>
          <t>Course</t>
        </is>
      </c>
      <c r="D372" s="5" t="inlineStr">
        <is>
          <t>Qualité — 30-20-10 (SV1 / SV1+ / Allure IM)</t>
        </is>
      </c>
      <c r="E372" s="3" t="n">
        <v>80</v>
      </c>
      <c r="F372" s="5" t="inlineStr">
        <is>
          <t>Z3</t>
        </is>
      </c>
      <c r="G372" s="3" t="n">
        <v>6</v>
      </c>
      <c r="H372" s="6" t="inlineStr">
        <is>
          <t>Objectif : durabilité : finir à l'allure IM après SV1 → SV1+ — répéter le ravitaillement : 30 g de glucides
8' EF Z2 (127-140 bpm)
30' SV1 (155-165 bpm)
3' de repos
20' SV1+ (165-171 bpm)
3' de repos
10' Allure IM (150-155 bpm)
6' EF Z2 (127-140 bpm)</t>
        </is>
      </c>
      <c r="I372" s="3" t="n">
        <v>14.5</v>
      </c>
      <c r="J372" s="3" t="n"/>
      <c r="K372" s="3" t="n"/>
    </row>
    <row r="373" ht="24" customHeight="1" s="159">
      <c r="A373" s="175" t="n">
        <v>46462</v>
      </c>
      <c r="B373" s="3" t="inlineStr">
        <is>
          <t>Mardi</t>
        </is>
      </c>
      <c r="C373" s="8" t="inlineStr">
        <is>
          <t>Vélo</t>
        </is>
      </c>
      <c r="D373" s="5" t="inlineStr">
        <is>
          <t>Vélo récupération Z1</t>
        </is>
      </c>
      <c r="E373" s="3" t="n">
        <v>56</v>
      </c>
      <c r="F373" s="5" t="inlineStr">
        <is>
          <t>Z2</t>
        </is>
      </c>
      <c r="G373" s="3" t="n">
        <v>2</v>
      </c>
      <c r="H373" s="6">
        <f>"56' Z1 très facile (&lt; 127 bpm / "&amp;IF(FTP&gt;0,TEXT(ROUND(FTP*50/500,0)*5,"0"),"?")&amp;"-"&amp;IF(FTP&gt;0,TEXT(ROUND(FTP*55/500,0)*5,"0"),"?")&amp;" W"&amp;") — récupération active"&amp;CHAR(10)&amp;"Cadence souple 85-90 rpm"</f>
        <v/>
      </c>
      <c r="I373" s="3" t="n"/>
      <c r="J373" s="3" t="n">
        <v>26</v>
      </c>
      <c r="K373" s="3" t="n"/>
    </row>
    <row r="374" ht="60" customHeight="1" s="159">
      <c r="A374" s="175" t="n">
        <v>46463</v>
      </c>
      <c r="B374" s="3" t="inlineStr">
        <is>
          <t>Mercredi</t>
        </is>
      </c>
      <c r="C374" s="8" t="inlineStr">
        <is>
          <t>Vélo</t>
        </is>
      </c>
      <c r="D374" s="5" t="inlineStr">
        <is>
          <t>Vélo clé — 2x30' @ 90% FTP — r=5'</t>
        </is>
      </c>
      <c r="E374" s="3" t="n">
        <v>141</v>
      </c>
      <c r="F374" s="5" t="inlineStr">
        <is>
          <t>Z3</t>
        </is>
      </c>
      <c r="G374" s="3" t="n">
        <v>6</v>
      </c>
      <c r="H374" s="6">
        <f>"66' EF Z2 (127-140 bpm / "&amp;IF(FTP&gt;0,TEXT(ROUND(FTP*60/500,0)*5,"0"),"?")&amp;"-"&amp;IF(FTP&gt;0,TEXT(ROUND(FTP*70/500,0)*5,"0"),"?")&amp;" W"&amp;") | 2x30' @ 90% FTP ("&amp;IF(FTP&gt;0,TEXT(ROUND(FTP*90/500,0)*5,"0"),"?")&amp;" W"&amp;") — r=5'"&amp;CHAR(10)&amp;"Objectif : travailler juste sous le seuil lactique (sweet spot)"&amp;CHAR(10)&amp;"FC bloc cible : ~163 bpm (84% FC max = ton seuil lactique) | Cadence : 87-93 rpm | RPE 6-7/10"&amp;CHAR(10)&amp;"NUTRITION : 80g glucides/h si &gt;90'"&amp;CHAR(10)&amp;"10' RC (127-140 bpm / "&amp;IF(FTP&gt;0,TEXT(ROUND(FTP*60/500,0)*5,"0"),"?")&amp;"-"&amp;IF(FTP&gt;0,TEXT(ROUND(FTP*70/500,0)*5,"0"),"?")&amp;" W"&amp;")"</f>
        <v/>
      </c>
      <c r="I374" s="3" t="n"/>
      <c r="J374" s="3" t="n">
        <v>66</v>
      </c>
      <c r="K374" s="3" t="n"/>
    </row>
    <row r="375" ht="24" customHeight="1" s="159">
      <c r="A375" s="175" t="n">
        <v>46464</v>
      </c>
      <c r="B375" s="3" t="inlineStr">
        <is>
          <t>Jeudi</t>
        </is>
      </c>
      <c r="C375" s="7" t="inlineStr">
        <is>
          <t>Course</t>
        </is>
      </c>
      <c r="D375" s="5" t="inlineStr">
        <is>
          <t>EF Z2</t>
        </is>
      </c>
      <c r="E375" s="3" t="n">
        <v>74</v>
      </c>
      <c r="F375" s="5" t="inlineStr">
        <is>
          <t>Z2</t>
        </is>
      </c>
      <c r="G375" s="3" t="n">
        <v>4</v>
      </c>
      <c r="H375" s="6" t="inlineStr">
        <is>
          <t>74' EF Z2 (127-140 bpm)
Allure facile, cadence naturelle</t>
        </is>
      </c>
      <c r="I375" s="3" t="n">
        <v>12</v>
      </c>
      <c r="J375" s="3" t="n"/>
      <c r="K375" s="3" t="n"/>
    </row>
    <row r="376" ht="144" customHeight="1" s="159">
      <c r="A376" s="175" t="n">
        <v>46464</v>
      </c>
      <c r="B376" s="3" t="inlineStr">
        <is>
          <t>Jeudi</t>
        </is>
      </c>
      <c r="C376" s="9" t="inlineStr">
        <is>
          <t>Natation</t>
        </is>
      </c>
      <c r="D376" s="5" t="inlineStr">
        <is>
          <t>Natation test CSS 400/200</t>
        </is>
      </c>
      <c r="E376" s="3" t="n">
        <v>72</v>
      </c>
      <c r="F376" s="5" t="inlineStr">
        <is>
          <t>-</t>
        </is>
      </c>
      <c r="G376" s="3" t="n">
        <v>7</v>
      </c>
      <c r="H376" s="6" t="inlineStr">
        <is>
          <t>Échauffement : 200 m souple (110-126 bpm, 2:23/100 m) puis 8 x 50 m progressif (du souple au soutenu) — repos 15 s
Test 1 : 400 m à fond, chrono à noter — puis 200 m très souple
Test 2 : 200 m à fond, chrono à noter
Série soutenue : 9 x 100 m à allure soutenue (135-148 bpm, 2:06/100 m) — repos 15 s
Retour au calme : 200 m souple (110-126 bpm)
Calcul : allure CSS /100 m = (chrono 400 m − chrono 200 m) ÷ 2 ; relève aussi ta FC moyenne sur le 400 m : c'est ta zone seuil natation réelle (à ± 5 bpm) ; CSS prévue cette semaine : 2:03/100 m
Recalage : allure IM = CSS + 6 s ; soutenu = CSS + 3 s ; seuil = CSS ; souple = CSS + 20 s — décale les allures du fichier du même écart
Total : 2500 m</t>
        </is>
      </c>
      <c r="I376" s="3" t="n"/>
      <c r="J376" s="3" t="n"/>
      <c r="K376" s="3" t="n">
        <v>2500</v>
      </c>
    </row>
    <row r="377" ht="24" customHeight="1" s="159">
      <c r="A377" s="175" t="n">
        <v>46465</v>
      </c>
      <c r="B377" s="3" t="inlineStr">
        <is>
          <t>Vendredi</t>
        </is>
      </c>
      <c r="C377" s="7" t="inlineStr">
        <is>
          <t>Course</t>
        </is>
      </c>
      <c r="D377" s="5" t="inlineStr">
        <is>
          <t>EF Z2 — court</t>
        </is>
      </c>
      <c r="E377" s="3" t="n">
        <v>40</v>
      </c>
      <c r="F377" s="5" t="inlineStr">
        <is>
          <t>Z1-Z2</t>
        </is>
      </c>
      <c r="G377" s="3" t="n">
        <v>2</v>
      </c>
      <c r="H377" s="6" t="inlineStr">
        <is>
          <t>40' EF Z1-Z2 (120-135 bpm) — COURT
Vraie récup — pas de strides</t>
        </is>
      </c>
      <c r="I377" s="3" t="n">
        <v>6</v>
      </c>
      <c r="J377" s="3" t="n"/>
      <c r="K377" s="3" t="n"/>
    </row>
    <row r="378" ht="60" customHeight="1" s="159">
      <c r="A378" s="175" t="n">
        <v>46465</v>
      </c>
      <c r="B378" s="3" t="inlineStr">
        <is>
          <t>Vendredi</t>
        </is>
      </c>
      <c r="C378" s="8" t="inlineStr">
        <is>
          <t>Vélo</t>
        </is>
      </c>
      <c r="D378" s="5" t="inlineStr">
        <is>
          <t>Force spécifique</t>
        </is>
      </c>
      <c r="E378" s="3" t="n">
        <v>124</v>
      </c>
      <c r="F378" s="5" t="inlineStr">
        <is>
          <t>Z2-Z3</t>
        </is>
      </c>
      <c r="G378" s="3" t="n">
        <v>5</v>
      </c>
      <c r="H378" s="6">
        <f>"77' EF (127-140 bpm / "&amp;IF(FTP&gt;0,TEXT(ROUND(FTP*60/500,0)*5,"0"),"?")&amp;"-"&amp;IF(FTP&gt;0,TEXT(ROUND(FTP*70/500,0)*5,"0"),"?")&amp;" W"&amp;") | 5x5'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80g glucides/h si &gt;90'"&amp;CHAR(10)&amp;"10' RC (127-140 bpm / "&amp;IF(FTP&gt;0,TEXT(ROUND(FTP*60/500,0)*5,"0"),"?")&amp;"-"&amp;IF(FTP&gt;0,TEXT(ROUND(FTP*70/500,0)*5,"0"),"?")&amp;" W"&amp;")"</f>
        <v/>
      </c>
      <c r="I378" s="3" t="n"/>
      <c r="J378" s="3" t="n">
        <v>58</v>
      </c>
      <c r="K378" s="3" t="n"/>
    </row>
    <row r="379" ht="84" customHeight="1" s="159">
      <c r="A379" s="175" t="n">
        <v>46466</v>
      </c>
      <c r="B379" s="3" t="inlineStr">
        <is>
          <t>Samedi</t>
        </is>
      </c>
      <c r="C379" s="9" t="inlineStr">
        <is>
          <t>Natation</t>
        </is>
      </c>
      <c r="D379" s="5" t="inlineStr">
        <is>
          <t>Natation technique + bloc IM</t>
        </is>
      </c>
      <c r="E379" s="3" t="n">
        <v>97</v>
      </c>
      <c r="F379" s="5" t="inlineStr">
        <is>
          <t>-</t>
        </is>
      </c>
      <c r="G379" s="3" t="n">
        <v>5</v>
      </c>
      <c r="H379" s="6" t="inlineStr">
        <is>
          <t>Échauffement : 4 x 50 m facile (108-117 bpm) — repos 30 s
Éducatifs : 8 x 50 m (catch-up, finger drag, sighting) — repos 30 s
Bloc continu : 2100 m à allure IM, sans arrêt (135-148 bpm, 2:09/100 m) — sighting toutes les 6-8 cycles de bras
Pull buoy : 8 x 100 m (135-148 bpm, 2:06/100 m) — repos 30 s
Retour au calme : 200 m souple (110-126 bpm)
Total : 3700 m</t>
        </is>
      </c>
      <c r="I379" s="3" t="n"/>
      <c r="J379" s="3" t="n"/>
      <c r="K379" s="3" t="n">
        <v>3700</v>
      </c>
    </row>
    <row r="380" ht="48" customHeight="1" s="159">
      <c r="A380" s="175" t="n">
        <v>46466</v>
      </c>
      <c r="B380" s="3" t="inlineStr">
        <is>
          <t>Samedi</t>
        </is>
      </c>
      <c r="C380" s="7" t="inlineStr">
        <is>
          <t>Course</t>
        </is>
      </c>
      <c r="D380" s="5" t="inlineStr">
        <is>
          <t>SORTIE LONGUE Z2 + fin allure IM — 135' (22 km)</t>
        </is>
      </c>
      <c r="E380" s="3" t="n">
        <v>135</v>
      </c>
      <c r="F380" s="5" t="inlineStr">
        <is>
          <t>Z2-Z3</t>
        </is>
      </c>
      <c r="G380" s="3" t="n">
        <v>7</v>
      </c>
      <c r="H380" s="6" t="inlineStr">
        <is>
          <t>110' Z2 (127-140 bpm) | 20' allure IM (150-155 bpm) | 5' Z2 retour au calme
Bloc allure IM dans le dernier tiers, jambes fatiguées : c'est la fatigue qui fait le travail, pas la vitesse
Gel à 45' et 90'</t>
        </is>
      </c>
      <c r="I380" s="3" t="n">
        <v>22</v>
      </c>
      <c r="J380" s="3" t="n"/>
      <c r="K380" s="3" t="n"/>
    </row>
    <row r="381" ht="36" customHeight="1" s="159">
      <c r="A381" s="175" t="n">
        <v>46467</v>
      </c>
      <c r="B381" s="3" t="inlineStr">
        <is>
          <t>Dimanche</t>
        </is>
      </c>
      <c r="C381" s="8" t="inlineStr">
        <is>
          <t>Vélo</t>
        </is>
      </c>
      <c r="D381" s="5" t="inlineStr">
        <is>
          <t>Sortie longue — 300' (140.0 km)</t>
        </is>
      </c>
      <c r="E381" s="3" t="n">
        <v>300</v>
      </c>
      <c r="F381" s="5" t="inlineStr">
        <is>
          <t>Z2-Z3</t>
        </is>
      </c>
      <c r="G381" s="3" t="n">
        <v>6</v>
      </c>
      <c r="H381" s="6">
        <f>"300' Z2 (127-140 bpm / "&amp;IF(FTP&gt;0,TEXT(ROUND(FTP*60/500,0)*5,"0"),"?")&amp;"-"&amp;IF(FTP&gt;0,TEXT(ROUND(FTP*70/500,0)*5,"0"),"?")&amp;" W"&amp;")"&amp;CHAR(10)&amp;"Cadence 85-92 rpm"&amp;CHAR(10)&amp;"NUTRITION : 80g glucides/h si &gt;60'"</f>
        <v/>
      </c>
      <c r="I381" s="3" t="n"/>
      <c r="J381" s="3" t="n">
        <v>140</v>
      </c>
      <c r="K381" s="3" t="n"/>
    </row>
    <row r="382" ht="24" customHeight="1" s="159">
      <c r="A382" s="175" t="n">
        <v>46467</v>
      </c>
      <c r="B382" s="3" t="inlineStr">
        <is>
          <t>Dimanche</t>
        </is>
      </c>
      <c r="C382" s="7" t="inlineStr">
        <is>
          <t>Course</t>
        </is>
      </c>
      <c r="D382" s="5" t="inlineStr">
        <is>
          <t>CAP en Brick — 20'</t>
        </is>
      </c>
      <c r="E382" s="3" t="n">
        <v>20</v>
      </c>
      <c r="F382" s="5" t="inlineStr">
        <is>
          <t>Z2-Z3</t>
        </is>
      </c>
      <c r="G382" s="3" t="n">
        <v>4</v>
      </c>
      <c r="H382" s="6" t="inlineStr">
        <is>
          <t>Transition directe après vélo — 20' @ Z2-Z3 (127-155 bpm)
Adaptation transition vélo→CAP</t>
        </is>
      </c>
      <c r="I382" s="3" t="n">
        <v>3.5</v>
      </c>
      <c r="J382" s="3" t="n"/>
      <c r="K382" s="3" t="n"/>
    </row>
    <row r="383" ht="60" customHeight="1" s="159">
      <c r="A383" s="175" t="n">
        <v>46467</v>
      </c>
      <c r="B383" s="3" t="inlineStr">
        <is>
          <t>Dimanche</t>
        </is>
      </c>
      <c r="C383" s="9" t="inlineStr">
        <is>
          <t>Natation</t>
        </is>
      </c>
      <c r="D383" s="5" t="inlineStr">
        <is>
          <t>Natation récupération</t>
        </is>
      </c>
      <c r="E383" s="3" t="n">
        <v>65</v>
      </c>
      <c r="F383" s="5" t="inlineStr">
        <is>
          <t>-</t>
        </is>
      </c>
      <c r="G383" s="3" t="n">
        <v>2</v>
      </c>
      <c r="H383" s="6" t="inlineStr">
        <is>
          <t>Échauffement : 200 m souple (110-126 bpm)
Série : 19 x 100 m technique, nage relâchée (110-120 bpm) — repos 30 s + 50 m souple
Retour au calme : 50 m souple
Consigne : séance de récupération : relâchement, amplitude, aucune recherche de vitesse
Total : 2200 m</t>
        </is>
      </c>
      <c r="I383" s="3" t="n"/>
      <c r="J383" s="3" t="n"/>
      <c r="K383" s="3" t="n">
        <v>2200</v>
      </c>
    </row>
    <row r="384" ht="15" customHeight="1" s="159">
      <c r="A384" s="10" t="n"/>
      <c r="B384" s="10" t="n"/>
      <c r="C384" s="10" t="n"/>
      <c r="D384" s="10" t="n"/>
      <c r="E384" s="10" t="n"/>
      <c r="F384" s="10" t="n"/>
      <c r="G384" s="10" t="n"/>
      <c r="H384" s="11" t="inlineStr">
        <is>
          <t>TOTAL SEMAINE</t>
        </is>
      </c>
      <c r="I384" s="10">
        <f>SUM(I371:I383)</f>
        <v/>
      </c>
      <c r="J384" s="10">
        <f>SUM(J371:J383)</f>
        <v/>
      </c>
      <c r="K384" s="10">
        <f>SUM(K371:K383)</f>
        <v/>
      </c>
    </row>
    <row r="385" ht="24" customHeight="1" s="159">
      <c r="A385" s="152" t="inlineStr">
        <is>
          <t xml:space="preserve">  S30 — 22/03/2027 → 28/03/2027   |     Phase 4 — Spécifique IM (Deload)</t>
        </is>
      </c>
    </row>
    <row r="386" ht="24" customHeight="1" s="159">
      <c r="A386" s="175" t="n">
        <v>46468</v>
      </c>
      <c r="B386" s="3" t="inlineStr">
        <is>
          <t>Lundi</t>
        </is>
      </c>
      <c r="C386" s="4" t="inlineStr">
        <is>
          <t>Repos</t>
        </is>
      </c>
      <c r="D386" s="5" t="inlineStr">
        <is>
          <t>OFF</t>
        </is>
      </c>
      <c r="E386" s="3" t="inlineStr">
        <is>
          <t>-</t>
        </is>
      </c>
      <c r="F386" s="5" t="inlineStr">
        <is>
          <t>-</t>
        </is>
      </c>
      <c r="G386" s="3" t="n">
        <v>1</v>
      </c>
      <c r="H386" s="6" t="inlineStr">
        <is>
          <t>Repos complet</t>
        </is>
      </c>
      <c r="I386" s="3" t="n"/>
      <c r="J386" s="3" t="n"/>
      <c r="K386" s="3" t="n"/>
    </row>
    <row r="387" ht="168" customHeight="1" s="159">
      <c r="A387" s="175" t="n">
        <v>46469</v>
      </c>
      <c r="B387" s="3" t="inlineStr">
        <is>
          <t>Mardi</t>
        </is>
      </c>
      <c r="C387" s="7" t="inlineStr">
        <is>
          <t>Course</t>
        </is>
      </c>
      <c r="D387" s="5" t="inlineStr">
        <is>
          <t>Qualité — 15-10-5 (SV1 / SV1+ / Allure IM) — décharge</t>
        </is>
      </c>
      <c r="E387" s="3" t="n">
        <v>60</v>
      </c>
      <c r="F387" s="5" t="inlineStr">
        <is>
          <t>Z3</t>
        </is>
      </c>
      <c r="G387" s="3" t="n">
        <v>6</v>
      </c>
      <c r="H387" s="6" t="inlineStr">
        <is>
          <t>Objectif : durabilité : finir à l'allure IM après SV1 → SV1+ — répéter le ravitaillement : 30 g de glucides
14' EF Z2 (127-140 bpm)
15' SV1 (155-165 bpm)
3' de repos
10' SV1+ (165-171 bpm)
3' de repos
5' Allure IM (150-155 bpm)
10' EF Z2 (127-140 bpm)
Décharge : même type de séance que le bloc précédent, volume de qualité réduit</t>
        </is>
      </c>
      <c r="I387" s="3" t="n">
        <v>10.5</v>
      </c>
      <c r="J387" s="3" t="n"/>
      <c r="K387" s="3" t="n"/>
    </row>
    <row r="388" ht="24" customHeight="1" s="159">
      <c r="A388" s="175" t="n">
        <v>46469</v>
      </c>
      <c r="B388" s="3" t="inlineStr">
        <is>
          <t>Mardi</t>
        </is>
      </c>
      <c r="C388" s="8" t="inlineStr">
        <is>
          <t>Vélo</t>
        </is>
      </c>
      <c r="D388" s="5" t="inlineStr">
        <is>
          <t>Vélo récupération Z1</t>
        </is>
      </c>
      <c r="E388" s="3" t="n">
        <v>47</v>
      </c>
      <c r="F388" s="5" t="inlineStr">
        <is>
          <t>Z2</t>
        </is>
      </c>
      <c r="G388" s="3" t="n">
        <v>2</v>
      </c>
      <c r="H388" s="6">
        <f>"47' Z1 très facile (&lt; 127 bpm / "&amp;IF(FTP&gt;0,TEXT(ROUND(FTP*50/500,0)*5,"0"),"?")&amp;"-"&amp;IF(FTP&gt;0,TEXT(ROUND(FTP*55/500,0)*5,"0"),"?")&amp;" W"&amp;") — récupération active"&amp;CHAR(10)&amp;"Cadence souple 85-90 rpm"</f>
        <v/>
      </c>
      <c r="I388" s="3" t="n"/>
      <c r="J388" s="3" t="n">
        <v>22</v>
      </c>
      <c r="K388" s="3" t="n"/>
    </row>
    <row r="389" ht="60" customHeight="1" s="159">
      <c r="A389" s="175" t="n">
        <v>46470</v>
      </c>
      <c r="B389" s="3" t="inlineStr">
        <is>
          <t>Mercredi</t>
        </is>
      </c>
      <c r="C389" s="8" t="inlineStr">
        <is>
          <t>Vélo</t>
        </is>
      </c>
      <c r="D389" s="5" t="inlineStr">
        <is>
          <t>Vélo clé — 2x20' @ 88% FTP — r=5'</t>
        </is>
      </c>
      <c r="E389" s="3" t="n">
        <v>107</v>
      </c>
      <c r="F389" s="5" t="inlineStr">
        <is>
          <t>Z3</t>
        </is>
      </c>
      <c r="G389" s="3" t="n">
        <v>5</v>
      </c>
      <c r="H389" s="6">
        <f>"52' EF Z2 (127-140 bpm / "&amp;IF(FTP&gt;0,TEXT(ROUND(FTP*60/500,0)*5,"0"),"?")&amp;"-"&amp;IF(FTP&gt;0,TEXT(ROUND(FTP*70/500,0)*5,"0"),"?")&amp;" W"&amp;") | 2x20' @ 88% FTP ("&amp;IF(FTP&gt;0,TEXT(ROUND(FTP*88/500,0)*5,"0"),"?")&amp;" W"&amp;") — r=5'"&amp;CHAR(10)&amp;"Objectif : développer la puissance au seuil (FTP)"&amp;CHAR(10)&amp;"FC bloc cible : ~159 bpm (82% FC max) | Cadence : 87-93 rpm | RPE 7-8/10"&amp;CHAR(10)&amp;"NUTRITION : 80g glucides/h si &gt;90'"&amp;CHAR(10)&amp;"10' RC (127-140 bpm / "&amp;IF(FTP&gt;0,TEXT(ROUND(FTP*60/500,0)*5,"0"),"?")&amp;"-"&amp;IF(FTP&gt;0,TEXT(ROUND(FTP*70/500,0)*5,"0"),"?")&amp;" W"&amp;")"</f>
        <v/>
      </c>
      <c r="I389" s="3" t="n"/>
      <c r="J389" s="3" t="n">
        <v>50</v>
      </c>
      <c r="K389" s="3" t="n"/>
    </row>
    <row r="390" ht="24" customHeight="1" s="159">
      <c r="A390" s="175" t="n">
        <v>46471</v>
      </c>
      <c r="B390" s="3" t="inlineStr">
        <is>
          <t>Jeudi</t>
        </is>
      </c>
      <c r="C390" s="7" t="inlineStr">
        <is>
          <t>Course</t>
        </is>
      </c>
      <c r="D390" s="5" t="inlineStr">
        <is>
          <t>EF + strides</t>
        </is>
      </c>
      <c r="E390" s="3" t="n">
        <v>65</v>
      </c>
      <c r="F390" s="5" t="inlineStr">
        <is>
          <t>Z1-Z2</t>
        </is>
      </c>
      <c r="G390" s="3" t="n">
        <v>2</v>
      </c>
      <c r="H390" s="6" t="inlineStr">
        <is>
          <t>65' EF Z2 (127-140 bpm) | 4x20'' strides
Jamais &gt; Z2</t>
        </is>
      </c>
      <c r="I390" s="3" t="n">
        <v>10.5</v>
      </c>
      <c r="J390" s="3" t="n"/>
      <c r="K390" s="3" t="n"/>
    </row>
    <row r="391" ht="72" customHeight="1" s="159">
      <c r="A391" s="175" t="n">
        <v>46471</v>
      </c>
      <c r="B391" s="3" t="inlineStr">
        <is>
          <t>Jeudi</t>
        </is>
      </c>
      <c r="C391" s="9" t="inlineStr">
        <is>
          <t>Natation</t>
        </is>
      </c>
      <c r="D391" s="5" t="inlineStr">
        <is>
          <t>Natation endurance</t>
        </is>
      </c>
      <c r="E391" s="3" t="n">
        <v>53</v>
      </c>
      <c r="F391" s="5" t="inlineStr">
        <is>
          <t>-</t>
        </is>
      </c>
      <c r="G391" s="3" t="n">
        <v>4</v>
      </c>
      <c r="H391" s="6" t="inlineStr">
        <is>
          <t>Échauffement : 200 m souple (110-126 bpm, 2:23/100 m)
Série principale : 5 x 300 m à allure soutenue (135-148 bpm, 2:06/100 m) — repos 20 s + 150 m à la suite, même allure
Retour au calme : 200 m souple (110-126 bpm)
Consigne : allure constante sur chaque répétition ; sighting toutes les 6-8 cycles de bras
Total : 2050 m</t>
        </is>
      </c>
      <c r="I391" s="3" t="n"/>
      <c r="J391" s="3" t="n"/>
      <c r="K391" s="3" t="n">
        <v>2050</v>
      </c>
    </row>
    <row r="392" ht="24" customHeight="1" s="159">
      <c r="A392" s="175" t="n">
        <v>46472</v>
      </c>
      <c r="B392" s="3" t="inlineStr">
        <is>
          <t>Vendredi</t>
        </is>
      </c>
      <c r="C392" s="7" t="inlineStr">
        <is>
          <t>Course</t>
        </is>
      </c>
      <c r="D392" s="5" t="inlineStr">
        <is>
          <t>EF Z2 — court</t>
        </is>
      </c>
      <c r="E392" s="3" t="n">
        <v>33</v>
      </c>
      <c r="F392" s="5" t="inlineStr">
        <is>
          <t>Z1-Z2</t>
        </is>
      </c>
      <c r="G392" s="3" t="n">
        <v>2</v>
      </c>
      <c r="H392" s="6" t="inlineStr">
        <is>
          <t>33' EF Z1-Z2 (120-135 bpm) — COURT
Vraie récup — pas de strides</t>
        </is>
      </c>
      <c r="I392" s="3" t="n">
        <v>5</v>
      </c>
      <c r="J392" s="3" t="n"/>
      <c r="K392" s="3" t="n"/>
    </row>
    <row r="393" ht="48" customHeight="1" s="159">
      <c r="A393" s="175" t="n">
        <v>46472</v>
      </c>
      <c r="B393" s="3" t="inlineStr">
        <is>
          <t>Vendredi</t>
        </is>
      </c>
      <c r="C393" s="8" t="inlineStr">
        <is>
          <t>Vélo</t>
        </is>
      </c>
      <c r="D393" s="5" t="inlineStr">
        <is>
          <t>Force légère</t>
        </is>
      </c>
      <c r="E393" s="3" t="n">
        <v>81</v>
      </c>
      <c r="F393" s="5" t="inlineStr">
        <is>
          <t>Z2-Z3</t>
        </is>
      </c>
      <c r="G393" s="3" t="n">
        <v>3</v>
      </c>
      <c r="H393" s="6">
        <f>"46'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393" s="3" t="n"/>
      <c r="J393" s="3" t="n">
        <v>38</v>
      </c>
      <c r="K393" s="3" t="n"/>
    </row>
    <row r="394" ht="84" customHeight="1" s="159">
      <c r="A394" s="175" t="n">
        <v>46473</v>
      </c>
      <c r="B394" s="3" t="inlineStr">
        <is>
          <t>Samedi</t>
        </is>
      </c>
      <c r="C394" s="9" t="inlineStr">
        <is>
          <t>Natation</t>
        </is>
      </c>
      <c r="D394" s="5" t="inlineStr">
        <is>
          <t>Natation technique + bloc IM</t>
        </is>
      </c>
      <c r="E394" s="3" t="n">
        <v>77</v>
      </c>
      <c r="F394" s="5" t="inlineStr">
        <is>
          <t>-</t>
        </is>
      </c>
      <c r="G394" s="3" t="n">
        <v>5</v>
      </c>
      <c r="H394" s="6" t="inlineStr">
        <is>
          <t>Échauffement : 4 x 50 m facile (108-117 bpm) — repos 30 s
Éducatifs : 8 x 50 m (catch-up, finger drag, sighting) — repos 30 s
Bloc continu : 1200 m à allure IM, sans arrêt (135-148 bpm, 2:09/100 m) — sighting toutes les 6-8 cycles de bras
Pull buoy : 7 x 100 m (135-148 bpm, 2:06/100 m) — repos 30 s
Retour au calme : 200 m souple (110-126 bpm)
Total : 2700 m</t>
        </is>
      </c>
      <c r="I394" s="3" t="n"/>
      <c r="J394" s="3" t="n"/>
      <c r="K394" s="3" t="n">
        <v>2700</v>
      </c>
    </row>
    <row r="395" ht="36" customHeight="1" s="159">
      <c r="A395" s="175" t="n">
        <v>46473</v>
      </c>
      <c r="B395" s="3" t="inlineStr">
        <is>
          <t>Samedi</t>
        </is>
      </c>
      <c r="C395" s="7" t="inlineStr">
        <is>
          <t>Course</t>
        </is>
      </c>
      <c r="D395" s="5" t="inlineStr">
        <is>
          <t>SORTIE LONGUE Z2 — 111' (18 km)</t>
        </is>
      </c>
      <c r="E395" s="3" t="n">
        <v>111</v>
      </c>
      <c r="F395" s="5" t="inlineStr">
        <is>
          <t>Z2</t>
        </is>
      </c>
      <c r="G395" s="3" t="n">
        <v>6</v>
      </c>
      <c r="H395" s="6" t="inlineStr">
        <is>
          <t>Z2 111' — allure conversationnelle
FC : 127-140 bpm
Gel à 45' et 90'</t>
        </is>
      </c>
      <c r="I395" s="3" t="n">
        <v>18</v>
      </c>
      <c r="J395" s="3" t="n"/>
      <c r="K395" s="3" t="n"/>
    </row>
    <row r="396" ht="48" customHeight="1" s="159">
      <c r="A396" s="175" t="n">
        <v>46474</v>
      </c>
      <c r="B396" s="3" t="inlineStr">
        <is>
          <t>Dimanche</t>
        </is>
      </c>
      <c r="C396" s="8" t="inlineStr">
        <is>
          <t>Vélo</t>
        </is>
      </c>
      <c r="D396" s="5" t="inlineStr">
        <is>
          <t>Sortie longue — 236' (110.0 km)</t>
        </is>
      </c>
      <c r="E396" s="3" t="n">
        <v>236</v>
      </c>
      <c r="F396" s="5" t="inlineStr">
        <is>
          <t>Z2-Z3</t>
        </is>
      </c>
      <c r="G396" s="3" t="n">
        <v>4</v>
      </c>
      <c r="H396" s="6">
        <f>"236' Z2 (127-140 bpm / "&amp;IF(FTP&gt;0,TEXT(ROUND(FTP*60/500,0)*5,"0"),"?")&amp;"-"&amp;IF(FTP&gt;0,TEXT(ROUND(FTP*70/500,0)*5,"0"),"?")&amp;" W"&amp;")"&amp;CHAR(10)&amp;"Cadence 85-92 rpm"&amp;CHAR(10)&amp;"Semaine deload — volume réduit"&amp;CHAR(10)&amp;"NUTRITION : 80g glucides/h si &gt;60'"</f>
        <v/>
      </c>
      <c r="I396" s="3" t="n"/>
      <c r="J396" s="3" t="n">
        <v>110</v>
      </c>
      <c r="K396" s="3" t="n"/>
    </row>
    <row r="397" ht="60" customHeight="1" s="159">
      <c r="A397" s="175" t="n">
        <v>46474</v>
      </c>
      <c r="B397" s="3" t="inlineStr">
        <is>
          <t>Dimanche</t>
        </is>
      </c>
      <c r="C397" s="9" t="inlineStr">
        <is>
          <t>Natation</t>
        </is>
      </c>
      <c r="D397" s="5" t="inlineStr">
        <is>
          <t>Natation récupération</t>
        </is>
      </c>
      <c r="E397" s="3" t="n">
        <v>53</v>
      </c>
      <c r="F397" s="5" t="inlineStr">
        <is>
          <t>-</t>
        </is>
      </c>
      <c r="G397" s="3" t="n">
        <v>2</v>
      </c>
      <c r="H397" s="6" t="inlineStr">
        <is>
          <t>Échauffement : 200 m souple (110-126 bpm)
Série : 15 x 100 m technique, nage relâchée (110-120 bpm) — repos 30 s
Retour au calme : 50 m souple
Consigne : séance de récupération : relâchement, amplitude, aucune recherche de vitesse
Total : 1750 m</t>
        </is>
      </c>
      <c r="I397" s="3" t="n"/>
      <c r="J397" s="3" t="n"/>
      <c r="K397" s="3" t="n">
        <v>1750</v>
      </c>
    </row>
    <row r="398" ht="15" customHeight="1" s="159">
      <c r="A398" s="10" t="n"/>
      <c r="B398" s="10" t="n"/>
      <c r="C398" s="10" t="n"/>
      <c r="D398" s="10" t="n"/>
      <c r="E398" s="10" t="n"/>
      <c r="F398" s="10" t="n"/>
      <c r="G398" s="10" t="n"/>
      <c r="H398" s="11" t="inlineStr">
        <is>
          <t>TOTAL SEMAINE</t>
        </is>
      </c>
      <c r="I398" s="10">
        <f>SUM(I386:I397)</f>
        <v/>
      </c>
      <c r="J398" s="10">
        <f>SUM(J386:J397)</f>
        <v/>
      </c>
      <c r="K398" s="10">
        <f>SUM(K386:K397)</f>
        <v/>
      </c>
    </row>
    <row r="399" ht="48" customHeight="1" s="159">
      <c r="A399" s="146" t="inlineStr">
        <is>
          <t xml:space="preserve">  S31 — 29/03/2027 → 04/04/2027   |     Phase 4 — Spécifique IM</t>
        </is>
      </c>
    </row>
    <row r="400" ht="24" customHeight="1" s="159">
      <c r="A400" s="175" t="n">
        <v>46475</v>
      </c>
      <c r="B400" s="3" t="inlineStr">
        <is>
          <t>Lundi</t>
        </is>
      </c>
      <c r="C400" s="4" t="inlineStr">
        <is>
          <t>Repos</t>
        </is>
      </c>
      <c r="D400" s="5" t="inlineStr">
        <is>
          <t>OFF</t>
        </is>
      </c>
      <c r="E400" s="3" t="inlineStr">
        <is>
          <t>-</t>
        </is>
      </c>
      <c r="F400" s="5" t="inlineStr">
        <is>
          <t>-</t>
        </is>
      </c>
      <c r="G400" s="3" t="n">
        <v>1</v>
      </c>
      <c r="H400" s="6" t="inlineStr">
        <is>
          <t>Repos complet</t>
        </is>
      </c>
      <c r="I400" s="3" t="n"/>
      <c r="J400" s="3" t="n"/>
      <c r="K400" s="3" t="n"/>
    </row>
    <row r="401" ht="108" customHeight="1" s="159">
      <c r="A401" s="175" t="n">
        <v>46476</v>
      </c>
      <c r="B401" s="3" t="inlineStr">
        <is>
          <t>Mardi</t>
        </is>
      </c>
      <c r="C401" s="7" t="inlineStr">
        <is>
          <t>Course</t>
        </is>
      </c>
      <c r="D401" s="5" t="inlineStr">
        <is>
          <t>Qualité — 2km/1km x4 (Tempo / allure IM)</t>
        </is>
      </c>
      <c r="E401" s="3" t="n">
        <v>78</v>
      </c>
      <c r="F401" s="5" t="inlineStr">
        <is>
          <t>Z3-Z4</t>
        </is>
      </c>
      <c r="G401" s="3" t="n">
        <v>7</v>
      </c>
      <c r="H401" s="6" t="inlineStr">
        <is>
          <t>Objectif : spécificité Ironman : relances au-dessus de l'allure IM puis retour à l'allure IM (150-155 bpm), sans récupération
11' EF Z2 (127-140 bpm)
4 x [2 km à 85% FC max (165 bpm) + 1 km à allure IM (150-155 bpm)]
enchaînés, sans récupération
7' EF Z2 (127-140 bpm)</t>
        </is>
      </c>
      <c r="I401" s="3" t="n">
        <v>15</v>
      </c>
      <c r="J401" s="3" t="n"/>
      <c r="K401" s="3" t="n"/>
    </row>
    <row r="402" ht="24" customHeight="1" s="159">
      <c r="A402" s="175" t="n">
        <v>46476</v>
      </c>
      <c r="B402" s="3" t="inlineStr">
        <is>
          <t>Mardi</t>
        </is>
      </c>
      <c r="C402" s="8" t="inlineStr">
        <is>
          <t>Vélo</t>
        </is>
      </c>
      <c r="D402" s="5" t="inlineStr">
        <is>
          <t>Vélo récupération Z1</t>
        </is>
      </c>
      <c r="E402" s="3" t="n">
        <v>60</v>
      </c>
      <c r="F402" s="5" t="inlineStr">
        <is>
          <t>Z2</t>
        </is>
      </c>
      <c r="G402" s="3" t="n">
        <v>2</v>
      </c>
      <c r="H402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402" s="3" t="n"/>
      <c r="J402" s="3" t="n">
        <v>28</v>
      </c>
      <c r="K402" s="3" t="n"/>
    </row>
    <row r="403" ht="72" customHeight="1" s="159">
      <c r="A403" s="175" t="n">
        <v>46477</v>
      </c>
      <c r="B403" s="3" t="inlineStr">
        <is>
          <t>Mercredi</t>
        </is>
      </c>
      <c r="C403" s="8" t="inlineStr">
        <is>
          <t>Vélo</t>
        </is>
      </c>
      <c r="D403" s="5" t="inlineStr">
        <is>
          <t>Vélo clé — Bloc allure IM 3x25' (136-146 bpm) — r=5'</t>
        </is>
      </c>
      <c r="E403" s="3" t="n">
        <v>156</v>
      </c>
      <c r="F403" s="5" t="inlineStr">
        <is>
          <t>Z2-Z3</t>
        </is>
      </c>
      <c r="G403" s="3" t="n">
        <v>6</v>
      </c>
      <c r="H403" s="6">
        <f>"61' EF Z2 (127-140 bpm / "&amp;IF(FTP&gt;0,TEXT(ROUND(FTP*60/500,0)*5,"0"),"?")&amp;"-"&amp;IF(FTP&gt;0,TEXT(ROUND(FTP*70/500,0)*5,"0"),"?")&amp;" W"&amp;") | 3x25' allure IM (136-146 bpm, 70-75% FC max / "&amp;IF(FTP&gt;0,TEXT(ROUND(FTP*70/500,0)*5,"0"),"?")&amp;"-"&amp;IF(FTP&gt;0,TEXT(ROUND(FTP*75/500,0)*5,"0"),"?")&amp;" W"&amp;") — r=5'"&amp;CHAR(10)&amp;"Objectif : spécificité Ironman : rouler à l'effort de course et répéter le ravitaillement"&amp;CHAR(10)&amp;"FC bloc cible : 136-146 bpm (70-75% FC max) | Cadence : 85-92 rpm | RPE 5-6/10"&amp;CHAR(10)&amp;"NUTRITION : 80g glucides/h si &gt;90'"&amp;CHAR(10)&amp;"10' RC (127-140 bpm / "&amp;IF(FTP&gt;0,TEXT(ROUND(FTP*60/500,0)*5,"0"),"?")&amp;"-"&amp;IF(FTP&gt;0,TEXT(ROUND(FTP*70/500,0)*5,"0"),"?")&amp;" W"&amp;")"</f>
        <v/>
      </c>
      <c r="I403" s="3" t="n"/>
      <c r="J403" s="3" t="n">
        <v>73</v>
      </c>
      <c r="K403" s="3" t="n"/>
    </row>
    <row r="404" ht="24" customHeight="1" s="159">
      <c r="A404" s="175" t="n">
        <v>46478</v>
      </c>
      <c r="B404" s="3" t="inlineStr">
        <is>
          <t>Jeudi</t>
        </is>
      </c>
      <c r="C404" s="7" t="inlineStr">
        <is>
          <t>Course</t>
        </is>
      </c>
      <c r="D404" s="5" t="inlineStr">
        <is>
          <t>EF Z2</t>
        </is>
      </c>
      <c r="E404" s="3" t="n">
        <v>77</v>
      </c>
      <c r="F404" s="5" t="inlineStr">
        <is>
          <t>Z2</t>
        </is>
      </c>
      <c r="G404" s="3" t="n">
        <v>4</v>
      </c>
      <c r="H404" s="6" t="inlineStr">
        <is>
          <t>77' EF Z2 (127-140 bpm)
Allure facile, cadence naturelle</t>
        </is>
      </c>
      <c r="I404" s="3" t="n">
        <v>12.5</v>
      </c>
      <c r="J404" s="3" t="n"/>
      <c r="K404" s="3" t="n"/>
    </row>
    <row r="405" ht="84" customHeight="1" s="159">
      <c r="A405" s="175" t="n">
        <v>46478</v>
      </c>
      <c r="B405" s="3" t="inlineStr">
        <is>
          <t>Jeudi</t>
        </is>
      </c>
      <c r="C405" s="9" t="inlineStr">
        <is>
          <t>Natation</t>
        </is>
      </c>
      <c r="D405" s="5" t="inlineStr">
        <is>
          <t>Natation seuil + soutenu</t>
        </is>
      </c>
      <c r="E405" s="3" t="n">
        <v>83</v>
      </c>
      <c r="F405" s="5" t="inlineStr">
        <is>
          <t>-</t>
        </is>
      </c>
      <c r="G405" s="3" t="n">
        <v>6</v>
      </c>
      <c r="H405" s="6" t="inlineStr">
        <is>
          <t>Échauffement : 200 m souple (110-126 bpm, 2:23/100 m)
Série seuil : 10 x 100 m à l'allure CSS (150-160 bpm, 2:03/100 m) — repos 15 s
Série soutenue : 8 x 200 m à allure soutenue (135-148 bpm, 2:06/100 m) — repos 20 s
Retour au calme : 200 m souple (110-126 bpm)
Consigne : seuil = effort dur mais régulier, même chrono sur chaque 100 m ; sighting toutes les 6-8 cycles de bras
Total : 3000 m</t>
        </is>
      </c>
      <c r="I405" s="3" t="n"/>
      <c r="J405" s="3" t="n"/>
      <c r="K405" s="3" t="n">
        <v>3000</v>
      </c>
    </row>
    <row r="406" ht="24" customHeight="1" s="159">
      <c r="A406" s="175" t="n">
        <v>46479</v>
      </c>
      <c r="B406" s="3" t="inlineStr">
        <is>
          <t>Vendredi</t>
        </is>
      </c>
      <c r="C406" s="7" t="inlineStr">
        <is>
          <t>Course</t>
        </is>
      </c>
      <c r="D406" s="5" t="inlineStr">
        <is>
          <t>EF Z2 — court</t>
        </is>
      </c>
      <c r="E406" s="3" t="n">
        <v>40</v>
      </c>
      <c r="F406" s="5" t="inlineStr">
        <is>
          <t>Z1-Z2</t>
        </is>
      </c>
      <c r="G406" s="3" t="n">
        <v>2</v>
      </c>
      <c r="H406" s="6" t="inlineStr">
        <is>
          <t>40' EF Z1-Z2 (120-135 bpm) — COURT
Vraie récup — pas de strides</t>
        </is>
      </c>
      <c r="I406" s="3" t="n">
        <v>6</v>
      </c>
      <c r="J406" s="3" t="n"/>
      <c r="K406" s="3" t="n"/>
    </row>
    <row r="407" ht="60" customHeight="1" s="159">
      <c r="A407" s="175" t="n">
        <v>46479</v>
      </c>
      <c r="B407" s="3" t="inlineStr">
        <is>
          <t>Vendredi</t>
        </is>
      </c>
      <c r="C407" s="8" t="inlineStr">
        <is>
          <t>Vélo</t>
        </is>
      </c>
      <c r="D407" s="5" t="inlineStr">
        <is>
          <t>Force spécifique</t>
        </is>
      </c>
      <c r="E407" s="3" t="n">
        <v>126</v>
      </c>
      <c r="F407" s="5" t="inlineStr">
        <is>
          <t>Z2-Z3</t>
        </is>
      </c>
      <c r="G407" s="3" t="n">
        <v>5</v>
      </c>
      <c r="H407" s="6">
        <f>"79' EF (127-140 bpm / "&amp;IF(FTP&gt;0,TEXT(ROUND(FTP*60/500,0)*5,"0"),"?")&amp;"-"&amp;IF(FTP&gt;0,TEXT(ROUND(FTP*70/500,0)*5,"0"),"?")&amp;" W"&amp;") | 5x5'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80g glucides/h si &gt;90'"&amp;CHAR(10)&amp;"10' RC (127-140 bpm / "&amp;IF(FTP&gt;0,TEXT(ROUND(FTP*60/500,0)*5,"0"),"?")&amp;"-"&amp;IF(FTP&gt;0,TEXT(ROUND(FTP*70/500,0)*5,"0"),"?")&amp;" W"&amp;")"</f>
        <v/>
      </c>
      <c r="I407" s="3" t="n"/>
      <c r="J407" s="3" t="n">
        <v>59</v>
      </c>
      <c r="K407" s="3" t="n"/>
    </row>
    <row r="408" ht="84" customHeight="1" s="159">
      <c r="A408" s="175" t="n">
        <v>46480</v>
      </c>
      <c r="B408" s="3" t="inlineStr">
        <is>
          <t>Samedi</t>
        </is>
      </c>
      <c r="C408" s="9" t="inlineStr">
        <is>
          <t>Natation</t>
        </is>
      </c>
      <c r="D408" s="5" t="inlineStr">
        <is>
          <t>Natation technique + bloc IM</t>
        </is>
      </c>
      <c r="E408" s="3" t="n">
        <v>99</v>
      </c>
      <c r="F408" s="5" t="inlineStr">
        <is>
          <t>-</t>
        </is>
      </c>
      <c r="G408" s="3" t="n">
        <v>5</v>
      </c>
      <c r="H408" s="6" t="inlineStr">
        <is>
          <t>Échauffement : 4 x 50 m facile (108-117 bpm) — repos 30 s
Éducatifs : 8 x 50 m (catch-up, finger drag, sighting) — repos 30 s
Bloc continu : 2200 m à allure IM, sans arrêt (135-148 bpm, 2:09/100 m) — sighting toutes les 6-8 cycles de bras
Pull buoy : 8 x 100 m (135-148 bpm, 2:06/100 m) — repos 30 s
Retour au calme : 200 m souple (110-126 bpm)
Total : 3800 m</t>
        </is>
      </c>
      <c r="I408" s="3" t="n"/>
      <c r="J408" s="3" t="n"/>
      <c r="K408" s="3" t="n">
        <v>3800</v>
      </c>
    </row>
    <row r="409" ht="48" customHeight="1" s="159">
      <c r="A409" s="175" t="n">
        <v>46480</v>
      </c>
      <c r="B409" s="3" t="inlineStr">
        <is>
          <t>Samedi</t>
        </is>
      </c>
      <c r="C409" s="7" t="inlineStr">
        <is>
          <t>Course</t>
        </is>
      </c>
      <c r="D409" s="5" t="inlineStr">
        <is>
          <t>SORTIE LONGUE Z2 + fin allure IM — 148' (24 km)</t>
        </is>
      </c>
      <c r="E409" s="3" t="n">
        <v>148</v>
      </c>
      <c r="F409" s="5" t="inlineStr">
        <is>
          <t>Z2-Z3</t>
        </is>
      </c>
      <c r="G409" s="3" t="n">
        <v>7</v>
      </c>
      <c r="H409" s="6" t="inlineStr">
        <is>
          <t>123' Z2 (127-140 bpm) | 20' allure IM (150-155 bpm) | 5' Z2 retour au calme
Bloc allure IM dans le dernier tiers, jambes fatiguées : c'est la fatigue qui fait le travail, pas la vitesse
Nutrition : gel à 45', 90' et 135'</t>
        </is>
      </c>
      <c r="I409" s="3" t="n">
        <v>24</v>
      </c>
      <c r="J409" s="3" t="n"/>
      <c r="K409" s="3" t="n"/>
    </row>
    <row r="410" ht="36" customHeight="1" s="159">
      <c r="A410" s="175" t="n">
        <v>46481</v>
      </c>
      <c r="B410" s="3" t="inlineStr">
        <is>
          <t>Dimanche</t>
        </is>
      </c>
      <c r="C410" s="8" t="inlineStr">
        <is>
          <t>Vélo</t>
        </is>
      </c>
      <c r="D410" s="5" t="inlineStr">
        <is>
          <t>Sortie longue — 321' (150.0 km)</t>
        </is>
      </c>
      <c r="E410" s="3" t="n">
        <v>321</v>
      </c>
      <c r="F410" s="5" t="inlineStr">
        <is>
          <t>Z2-Z3</t>
        </is>
      </c>
      <c r="G410" s="3" t="n">
        <v>6</v>
      </c>
      <c r="H410" s="6">
        <f>"321' Z2 (127-140 bpm / "&amp;IF(FTP&gt;0,TEXT(ROUND(FTP*60/500,0)*5,"0"),"?")&amp;"-"&amp;IF(FTP&gt;0,TEXT(ROUND(FTP*70/500,0)*5,"0"),"?")&amp;" W"&amp;")"&amp;CHAR(10)&amp;"Cadence 85-92 rpm"&amp;CHAR(10)&amp;"NUTRITION : 80g glucides/h si &gt;60'"</f>
        <v/>
      </c>
      <c r="I410" s="3" t="n"/>
      <c r="J410" s="3" t="n">
        <v>150</v>
      </c>
      <c r="K410" s="3" t="n"/>
    </row>
    <row r="411" ht="24" customHeight="1" s="159">
      <c r="A411" s="175" t="n">
        <v>46481</v>
      </c>
      <c r="B411" s="3" t="inlineStr">
        <is>
          <t>Dimanche</t>
        </is>
      </c>
      <c r="C411" s="7" t="inlineStr">
        <is>
          <t>Course</t>
        </is>
      </c>
      <c r="D411" s="5" t="inlineStr">
        <is>
          <t>CAP en Brick — 25'</t>
        </is>
      </c>
      <c r="E411" s="3" t="n">
        <v>25</v>
      </c>
      <c r="F411" s="5" t="inlineStr">
        <is>
          <t>Z2-Z3</t>
        </is>
      </c>
      <c r="G411" s="3" t="n">
        <v>4</v>
      </c>
      <c r="H411" s="6" t="inlineStr">
        <is>
          <t>Transition directe après vélo — 25' @ Z2-Z3 (127-155 bpm)
Adaptation transition vélo→CAP</t>
        </is>
      </c>
      <c r="I411" s="3" t="n">
        <v>4.5</v>
      </c>
      <c r="J411" s="3" t="n"/>
      <c r="K411" s="3" t="n"/>
    </row>
    <row r="412" ht="60" customHeight="1" s="159">
      <c r="A412" s="175" t="n">
        <v>46481</v>
      </c>
      <c r="B412" s="3" t="inlineStr">
        <is>
          <t>Dimanche</t>
        </is>
      </c>
      <c r="C412" s="9" t="inlineStr">
        <is>
          <t>Natation</t>
        </is>
      </c>
      <c r="D412" s="5" t="inlineStr">
        <is>
          <t>Natation récupération</t>
        </is>
      </c>
      <c r="E412" s="3" t="n">
        <v>64</v>
      </c>
      <c r="F412" s="5" t="inlineStr">
        <is>
          <t>-</t>
        </is>
      </c>
      <c r="G412" s="3" t="n">
        <v>2</v>
      </c>
      <c r="H412" s="6" t="inlineStr">
        <is>
          <t>Échauffement : 200 m souple (110-126 bpm)
Série : 19 x 100 m technique, nage relâchée (110-120 bpm) — repos 30 s + 50 m souple
Retour au calme : 50 m souple
Consigne : séance de récupération : relâchement, amplitude, aucune recherche de vitesse
Total : 2200 m</t>
        </is>
      </c>
      <c r="I412" s="3" t="n"/>
      <c r="J412" s="3" t="n"/>
      <c r="K412" s="3" t="n">
        <v>2200</v>
      </c>
    </row>
    <row r="413" ht="15" customHeight="1" s="159">
      <c r="A413" s="10" t="n"/>
      <c r="B413" s="10" t="n"/>
      <c r="C413" s="10" t="n"/>
      <c r="D413" s="10" t="n"/>
      <c r="E413" s="10" t="n"/>
      <c r="F413" s="10" t="n"/>
      <c r="G413" s="10" t="n"/>
      <c r="H413" s="11" t="inlineStr">
        <is>
          <t>TOTAL SEMAINE</t>
        </is>
      </c>
      <c r="I413" s="10">
        <f>SUM(I400:I412)</f>
        <v/>
      </c>
      <c r="J413" s="10">
        <f>SUM(J400:J412)</f>
        <v/>
      </c>
      <c r="K413" s="10">
        <f>SUM(K400:K412)</f>
        <v/>
      </c>
    </row>
    <row r="414" ht="48" customHeight="1" s="159">
      <c r="A414" s="146" t="inlineStr">
        <is>
          <t xml:space="preserve">  S32 — 05/04/2027 → 11/04/2027   |     Phase 4 — Spécifique IM (montée)</t>
        </is>
      </c>
    </row>
    <row r="415" ht="24" customHeight="1" s="159">
      <c r="A415" s="175" t="n">
        <v>46482</v>
      </c>
      <c r="B415" s="3" t="inlineStr">
        <is>
          <t>Lundi</t>
        </is>
      </c>
      <c r="C415" s="4" t="inlineStr">
        <is>
          <t>Repos</t>
        </is>
      </c>
      <c r="D415" s="5" t="inlineStr">
        <is>
          <t>OFF</t>
        </is>
      </c>
      <c r="E415" s="3" t="inlineStr">
        <is>
          <t>-</t>
        </is>
      </c>
      <c r="F415" s="5" t="inlineStr">
        <is>
          <t>-</t>
        </is>
      </c>
      <c r="G415" s="3" t="n">
        <v>1</v>
      </c>
      <c r="H415" s="6" t="inlineStr">
        <is>
          <t>Repos complet</t>
        </is>
      </c>
      <c r="I415" s="3" t="n"/>
      <c r="J415" s="3" t="n"/>
      <c r="K415" s="3" t="n"/>
    </row>
    <row r="416" ht="144" customHeight="1" s="159">
      <c r="A416" s="175" t="n">
        <v>46483</v>
      </c>
      <c r="B416" s="3" t="inlineStr">
        <is>
          <t>Mardi</t>
        </is>
      </c>
      <c r="C416" s="7" t="inlineStr">
        <is>
          <t>Course</t>
        </is>
      </c>
      <c r="D416" s="5" t="inlineStr">
        <is>
          <t>Qualité — 30-20-10 (SV1 / SV1+ / Allure IM)</t>
        </is>
      </c>
      <c r="E416" s="3" t="n">
        <v>80</v>
      </c>
      <c r="F416" s="5" t="inlineStr">
        <is>
          <t>Z3</t>
        </is>
      </c>
      <c r="G416" s="3" t="n">
        <v>6</v>
      </c>
      <c r="H416" s="6" t="inlineStr">
        <is>
          <t>Objectif : durabilité : finir à l'allure IM après SV1 → SV1+ — répéter le ravitaillement : 30 g de glucides
8' EF Z2 (127-140 bpm)
30' SV1 (155-165 bpm)
3' de repos
20' SV1+ (165-171 bpm)
3' de repos
10' Allure IM (150-155 bpm)
6' EF Z2 (127-140 bpm)</t>
        </is>
      </c>
      <c r="I416" s="3" t="n">
        <v>14</v>
      </c>
      <c r="J416" s="3" t="n"/>
      <c r="K416" s="3" t="n"/>
    </row>
    <row r="417" ht="24" customHeight="1" s="159">
      <c r="A417" s="175" t="n">
        <v>46483</v>
      </c>
      <c r="B417" s="3" t="inlineStr">
        <is>
          <t>Mardi</t>
        </is>
      </c>
      <c r="C417" s="8" t="inlineStr">
        <is>
          <t>Vélo</t>
        </is>
      </c>
      <c r="D417" s="5" t="inlineStr">
        <is>
          <t>Vélo récupération Z1</t>
        </is>
      </c>
      <c r="E417" s="3" t="n">
        <v>60</v>
      </c>
      <c r="F417" s="5" t="inlineStr">
        <is>
          <t>Z2</t>
        </is>
      </c>
      <c r="G417" s="3" t="n">
        <v>2</v>
      </c>
      <c r="H417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417" s="3" t="n"/>
      <c r="J417" s="3" t="n">
        <v>28</v>
      </c>
      <c r="K417" s="3" t="n"/>
    </row>
    <row r="418" ht="60" customHeight="1" s="159">
      <c r="A418" s="175" t="n">
        <v>46484</v>
      </c>
      <c r="B418" s="3" t="inlineStr">
        <is>
          <t>Mercredi</t>
        </is>
      </c>
      <c r="C418" s="8" t="inlineStr">
        <is>
          <t>Vélo</t>
        </is>
      </c>
      <c r="D418" s="5" t="inlineStr">
        <is>
          <t>Vélo clé — 2x25' @ 90% FTP — r=5'</t>
        </is>
      </c>
      <c r="E418" s="3" t="n">
        <v>171</v>
      </c>
      <c r="F418" s="5" t="inlineStr">
        <is>
          <t>Z3</t>
        </is>
      </c>
      <c r="G418" s="3" t="n">
        <v>6</v>
      </c>
      <c r="H418" s="6">
        <f>"106' EF Z2 (127-140 bpm / "&amp;IF(FTP&gt;0,TEXT(ROUND(FTP*60/500,0)*5,"0"),"?")&amp;"-"&amp;IF(FTP&gt;0,TEXT(ROUND(FTP*70/500,0)*5,"0"),"?")&amp;" W"&amp;") | 2x25' @ 90% FTP ("&amp;IF(FTP&gt;0,TEXT(ROUND(FTP*90/500,0)*5,"0"),"?")&amp;" W"&amp;") — r=5'"&amp;CHAR(10)&amp;"Objectif : travailler juste sous le seuil lactique (sweet spot)"&amp;CHAR(10)&amp;"FC bloc cible : ~163 bpm (84% FC max = ton seuil lactique) | Cadence : 87-93 rpm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418" s="3" t="n"/>
      <c r="J418" s="3" t="n">
        <v>80</v>
      </c>
      <c r="K418" s="3" t="n"/>
    </row>
    <row r="419" ht="36" customHeight="1" s="159">
      <c r="A419" s="175" t="n">
        <v>46485</v>
      </c>
      <c r="B419" s="3" t="inlineStr">
        <is>
          <t>Jeudi</t>
        </is>
      </c>
      <c r="C419" s="7" t="inlineStr">
        <is>
          <t>Course</t>
        </is>
      </c>
      <c r="D419" s="5" t="inlineStr">
        <is>
          <t>EF Z2</t>
        </is>
      </c>
      <c r="E419" s="3" t="n">
        <v>92</v>
      </c>
      <c r="F419" s="5" t="inlineStr">
        <is>
          <t>Z2</t>
        </is>
      </c>
      <c r="G419" s="3" t="n">
        <v>4</v>
      </c>
      <c r="H419" s="6" t="inlineStr">
        <is>
          <t>92' EF Z2 (127-140 bpm)
Allure facile, cadence naturelle
Nutrition : gel à 45'</t>
        </is>
      </c>
      <c r="I419" s="3" t="n">
        <v>15</v>
      </c>
      <c r="J419" s="3" t="n"/>
      <c r="K419" s="3" t="n"/>
    </row>
    <row r="420" ht="72" customHeight="1" s="159">
      <c r="A420" s="175" t="n">
        <v>46485</v>
      </c>
      <c r="B420" s="3" t="inlineStr">
        <is>
          <t>Jeudi</t>
        </is>
      </c>
      <c r="C420" s="9" t="inlineStr">
        <is>
          <t>Natation</t>
        </is>
      </c>
      <c r="D420" s="5" t="inlineStr">
        <is>
          <t>Natation endurance</t>
        </is>
      </c>
      <c r="E420" s="3" t="n">
        <v>74</v>
      </c>
      <c r="F420" s="5" t="inlineStr">
        <is>
          <t>-</t>
        </is>
      </c>
      <c r="G420" s="3" t="n">
        <v>4</v>
      </c>
      <c r="H420" s="6" t="inlineStr">
        <is>
          <t>Échauffement : 200 m souple (110-126 bpm, 2:23/100 m)
Série principale : 8 x 300 m à allure soutenue (135-148 bpm, 2:06/100 m) — repos 20 s + 200 m à la suite, même allure
Retour au calme : 200 m souple (110-126 bpm)
Consigne : allure constante sur chaque répétition ; sighting toutes les 6-8 cycles de bras
Total : 3000 m</t>
        </is>
      </c>
      <c r="I420" s="3" t="n"/>
      <c r="J420" s="3" t="n"/>
      <c r="K420" s="3" t="n">
        <v>3000</v>
      </c>
    </row>
    <row r="421" ht="24" customHeight="1" s="159">
      <c r="A421" s="175" t="n">
        <v>46486</v>
      </c>
      <c r="B421" s="3" t="inlineStr">
        <is>
          <t>Vendredi</t>
        </is>
      </c>
      <c r="C421" s="7" t="inlineStr">
        <is>
          <t>Course</t>
        </is>
      </c>
      <c r="D421" s="5" t="inlineStr">
        <is>
          <t>EF Z2 — court</t>
        </is>
      </c>
      <c r="E421" s="3" t="n">
        <v>40</v>
      </c>
      <c r="F421" s="5" t="inlineStr">
        <is>
          <t>Z1-Z2</t>
        </is>
      </c>
      <c r="G421" s="3" t="n">
        <v>2</v>
      </c>
      <c r="H421" s="6" t="inlineStr">
        <is>
          <t>40' EF Z1-Z2 (120-135 bpm) — COURT
Vraie récup — pas de strides</t>
        </is>
      </c>
      <c r="I421" s="3" t="n">
        <v>6</v>
      </c>
      <c r="J421" s="3" t="n"/>
      <c r="K421" s="3" t="n"/>
    </row>
    <row r="422" ht="60" customHeight="1" s="159">
      <c r="A422" s="175" t="n">
        <v>46486</v>
      </c>
      <c r="B422" s="3" t="inlineStr">
        <is>
          <t>Vendredi</t>
        </is>
      </c>
      <c r="C422" s="8" t="inlineStr">
        <is>
          <t>Vélo</t>
        </is>
      </c>
      <c r="D422" s="5" t="inlineStr">
        <is>
          <t>Force spécifique</t>
        </is>
      </c>
      <c r="E422" s="3" t="n">
        <v>133</v>
      </c>
      <c r="F422" s="5" t="inlineStr">
        <is>
          <t>Z2-Z3</t>
        </is>
      </c>
      <c r="G422" s="3" t="n">
        <v>5</v>
      </c>
      <c r="H422" s="6">
        <f>"86' EF (127-140 bpm / "&amp;IF(FTP&gt;0,TEXT(ROUND(FTP*60/500,0)*5,"0"),"?")&amp;"-"&amp;IF(FTP&gt;0,TEXT(ROUND(FTP*70/500,0)*5,"0"),"?")&amp;" W"&amp;") | 5x5'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422" s="3" t="n"/>
      <c r="J422" s="3" t="n">
        <v>62</v>
      </c>
      <c r="K422" s="3" t="n"/>
    </row>
    <row r="423" ht="84" customHeight="1" s="159">
      <c r="A423" s="175" t="n">
        <v>46487</v>
      </c>
      <c r="B423" s="3" t="inlineStr">
        <is>
          <t>Samedi</t>
        </is>
      </c>
      <c r="C423" s="9" t="inlineStr">
        <is>
          <t>Natation</t>
        </is>
      </c>
      <c r="D423" s="5" t="inlineStr">
        <is>
          <t>Natation technique + bloc IM</t>
        </is>
      </c>
      <c r="E423" s="3" t="n">
        <v>103</v>
      </c>
      <c r="F423" s="5" t="inlineStr">
        <is>
          <t>-</t>
        </is>
      </c>
      <c r="G423" s="3" t="n">
        <v>5</v>
      </c>
      <c r="H423" s="6" t="inlineStr">
        <is>
          <t>Échauffement : 4 x 50 m facile (108-117 bpm) — repos 30 s
Éducatifs : 8 x 50 m (catch-up, finger drag, sighting) — repos 30 s
Bloc continu : 2400 m à allure IM, sans arrêt (135-148 bpm, 2:09/100 m) — sighting toutes les 6-8 cycles de bras
Pull buoy : 8 x 100 m (135-148 bpm, 2:06/100 m) — repos 30 s
Retour au calme : 200 m souple (110-126 bpm)
Total : 4000 m</t>
        </is>
      </c>
      <c r="I423" s="3" t="n"/>
      <c r="J423" s="3" t="n"/>
      <c r="K423" s="3" t="n">
        <v>4000</v>
      </c>
    </row>
    <row r="424" ht="48" customHeight="1" s="159">
      <c r="A424" s="175" t="n">
        <v>46487</v>
      </c>
      <c r="B424" s="3" t="inlineStr">
        <is>
          <t>Samedi</t>
        </is>
      </c>
      <c r="C424" s="7" t="inlineStr">
        <is>
          <t>Course</t>
        </is>
      </c>
      <c r="D424" s="5" t="inlineStr">
        <is>
          <t>SORTIE LONGUE Z2 + fin allure IM — 160' (26 km)</t>
        </is>
      </c>
      <c r="E424" s="3" t="n">
        <v>160</v>
      </c>
      <c r="F424" s="5" t="inlineStr">
        <is>
          <t>Z2-Z3</t>
        </is>
      </c>
      <c r="G424" s="3" t="n">
        <v>7</v>
      </c>
      <c r="H424" s="6" t="inlineStr">
        <is>
          <t>135' Z2 (127-140 bpm) | 20' allure IM (150-155 bpm) | 5' Z2 retour au calme
Bloc allure IM dans le dernier tiers, jambes fatiguées : c'est la fatigue qui fait le travail, pas la vitesse
Nutrition : gel à 45', 90' et 135'</t>
        </is>
      </c>
      <c r="I424" s="3" t="n">
        <v>26</v>
      </c>
      <c r="J424" s="3" t="n"/>
      <c r="K424" s="3" t="n"/>
    </row>
    <row r="425" ht="36" customHeight="1" s="159">
      <c r="A425" s="175" t="n">
        <v>46488</v>
      </c>
      <c r="B425" s="3" t="inlineStr">
        <is>
          <t>Dimanche</t>
        </is>
      </c>
      <c r="C425" s="8" t="inlineStr">
        <is>
          <t>Vélo</t>
        </is>
      </c>
      <c r="D425" s="5" t="inlineStr">
        <is>
          <t>Sortie longue — 343' (160.0 km)</t>
        </is>
      </c>
      <c r="E425" s="3" t="n">
        <v>343</v>
      </c>
      <c r="F425" s="5" t="inlineStr">
        <is>
          <t>Z2-Z3</t>
        </is>
      </c>
      <c r="G425" s="3" t="n">
        <v>6</v>
      </c>
      <c r="H425" s="6">
        <f>"343' Z2 (127-140 bpm / "&amp;IF(FTP&gt;0,TEXT(ROUND(FTP*60/500,0)*5,"0"),"?")&amp;"-"&amp;IF(FTP&gt;0,TEXT(ROUND(FTP*70/500,0)*5,"0"),"?")&amp;" W"&amp;")"&amp;CHAR(10)&amp;"Cadence 85-92 rpm"&amp;CHAR(10)&amp;"NUTRITION : 90g glucides/h si &gt;60'"</f>
        <v/>
      </c>
      <c r="I425" s="3" t="n"/>
      <c r="J425" s="3" t="n">
        <v>160</v>
      </c>
      <c r="K425" s="3" t="n"/>
    </row>
    <row r="426" ht="24" customHeight="1" s="159">
      <c r="A426" s="175" t="n">
        <v>46488</v>
      </c>
      <c r="B426" s="3" t="inlineStr">
        <is>
          <t>Dimanche</t>
        </is>
      </c>
      <c r="C426" s="7" t="inlineStr">
        <is>
          <t>Course</t>
        </is>
      </c>
      <c r="D426" s="5" t="inlineStr">
        <is>
          <t>CAP en Brick — 30'</t>
        </is>
      </c>
      <c r="E426" s="3" t="n">
        <v>30</v>
      </c>
      <c r="F426" s="5" t="inlineStr">
        <is>
          <t>Z2-Z3</t>
        </is>
      </c>
      <c r="G426" s="3" t="n">
        <v>4</v>
      </c>
      <c r="H426" s="6" t="inlineStr">
        <is>
          <t>Transition directe après vélo — 30' @ Z2-Z3 (127-155 bpm)
Adaptation transition vélo→CAP</t>
        </is>
      </c>
      <c r="I426" s="3" t="n">
        <v>5</v>
      </c>
      <c r="J426" s="3" t="n"/>
      <c r="K426" s="3" t="n"/>
    </row>
    <row r="427" ht="60" customHeight="1" s="159">
      <c r="A427" s="175" t="n">
        <v>46488</v>
      </c>
      <c r="B427" s="3" t="inlineStr">
        <is>
          <t>Dimanche</t>
        </is>
      </c>
      <c r="C427" s="9" t="inlineStr">
        <is>
          <t>Natation</t>
        </is>
      </c>
      <c r="D427" s="5" t="inlineStr">
        <is>
          <t>Natation récupération</t>
        </is>
      </c>
      <c r="E427" s="3" t="n">
        <v>75</v>
      </c>
      <c r="F427" s="5" t="inlineStr">
        <is>
          <t>-</t>
        </is>
      </c>
      <c r="G427" s="3" t="n">
        <v>2</v>
      </c>
      <c r="H427" s="6" t="inlineStr">
        <is>
          <t>Échauffement : 200 m souple (110-126 bpm)
Série : 23 x 100 m technique, nage relâchée (110-120 bpm) — repos 30 s + 50 m souple
Retour au calme : 50 m souple
Consigne : séance de récupération : relâchement, amplitude, aucune recherche de vitesse
Total : 2600 m</t>
        </is>
      </c>
      <c r="I427" s="3" t="n"/>
      <c r="J427" s="3" t="n"/>
      <c r="K427" s="3" t="n">
        <v>2600</v>
      </c>
    </row>
    <row r="428" ht="15" customHeight="1" s="159">
      <c r="A428" s="10" t="n"/>
      <c r="B428" s="10" t="n"/>
      <c r="C428" s="10" t="n"/>
      <c r="D428" s="10" t="n"/>
      <c r="E428" s="10" t="n"/>
      <c r="F428" s="10" t="n"/>
      <c r="G428" s="10" t="n"/>
      <c r="H428" s="11" t="inlineStr">
        <is>
          <t>TOTAL SEMAINE</t>
        </is>
      </c>
      <c r="I428" s="10">
        <f>SUM(I415:I427)</f>
        <v/>
      </c>
      <c r="J428" s="10">
        <f>SUM(J415:J427)</f>
        <v/>
      </c>
      <c r="K428" s="10">
        <f>SUM(K415:K427)</f>
        <v/>
      </c>
    </row>
    <row r="429" ht="15" customHeight="1" s="159">
      <c r="A429" s="146" t="inlineStr">
        <is>
          <t xml:space="preserve">  S33 — 12/04/2027 → 18/04/2027   |     Phase 4 — Spécifique IM (Lacanau J-8, course Z3, pas d'affûtage)</t>
        </is>
      </c>
    </row>
    <row r="430" ht="60" customHeight="1" s="159">
      <c r="A430" s="175" t="n">
        <v>46489</v>
      </c>
      <c r="B430" s="3" t="inlineStr">
        <is>
          <t>Lundi</t>
        </is>
      </c>
      <c r="C430" s="4" t="inlineStr">
        <is>
          <t>Repos</t>
        </is>
      </c>
      <c r="D430" s="5" t="inlineStr">
        <is>
          <t>OFF</t>
        </is>
      </c>
      <c r="E430" s="3" t="inlineStr">
        <is>
          <t>-</t>
        </is>
      </c>
      <c r="F430" s="5" t="inlineStr">
        <is>
          <t>-</t>
        </is>
      </c>
      <c r="G430" s="3" t="n">
        <v>1</v>
      </c>
      <c r="H430" s="6" t="inlineStr">
        <is>
          <t>Repos complet</t>
        </is>
      </c>
      <c r="I430" s="3" t="n"/>
      <c r="J430" s="3" t="n"/>
      <c r="K430" s="3" t="n"/>
    </row>
    <row r="431" ht="144" customHeight="1" s="159">
      <c r="A431" s="175" t="n">
        <v>46490</v>
      </c>
      <c r="B431" s="3" t="inlineStr">
        <is>
          <t>Mardi</t>
        </is>
      </c>
      <c r="C431" s="7" t="inlineStr">
        <is>
          <t>Course</t>
        </is>
      </c>
      <c r="D431" s="5" t="inlineStr">
        <is>
          <t>Qualité — 30-20-10 (SV1 / SV1+ / Allure IM)</t>
        </is>
      </c>
      <c r="E431" s="3" t="n">
        <v>80</v>
      </c>
      <c r="F431" s="5" t="inlineStr">
        <is>
          <t>Z3</t>
        </is>
      </c>
      <c r="G431" s="3" t="n">
        <v>6</v>
      </c>
      <c r="H431" s="6" t="inlineStr">
        <is>
          <t>Objectif : durabilité : finir à l'allure IM après SV1 → SV1+ — répéter le ravitaillement : 30 g de glucides
8' EF Z2 (127-140 bpm)
30' SV1 (155-165 bpm)
3' de repos
20' SV1+ (165-171 bpm)
3' de repos
10' Allure IM (150-155 bpm)
6' EF Z2 (127-140 bpm)</t>
        </is>
      </c>
      <c r="I431" s="3" t="n">
        <v>14</v>
      </c>
      <c r="J431" s="3" t="n"/>
      <c r="K431" s="3" t="n"/>
    </row>
    <row r="432" ht="24" customHeight="1" s="159">
      <c r="A432" s="175" t="n">
        <v>46490</v>
      </c>
      <c r="B432" s="3" t="inlineStr">
        <is>
          <t>Mardi</t>
        </is>
      </c>
      <c r="C432" s="8" t="inlineStr">
        <is>
          <t>Vélo</t>
        </is>
      </c>
      <c r="D432" s="5" t="inlineStr">
        <is>
          <t>Vélo récupération Z1</t>
        </is>
      </c>
      <c r="E432" s="3" t="n">
        <v>60</v>
      </c>
      <c r="F432" s="5" t="inlineStr">
        <is>
          <t>Z2</t>
        </is>
      </c>
      <c r="G432" s="3" t="n">
        <v>2</v>
      </c>
      <c r="H432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432" s="3" t="n"/>
      <c r="J432" s="3" t="n">
        <v>28</v>
      </c>
      <c r="K432" s="3" t="n"/>
    </row>
    <row r="433" ht="60" customHeight="1" s="159">
      <c r="A433" s="175" t="n">
        <v>46491</v>
      </c>
      <c r="B433" s="3" t="inlineStr">
        <is>
          <t>Mercredi</t>
        </is>
      </c>
      <c r="C433" s="8" t="inlineStr">
        <is>
          <t>Vélo</t>
        </is>
      </c>
      <c r="D433" s="5" t="inlineStr">
        <is>
          <t>Vélo clé — Tempo 3x20' (147-159 bpm) — r=5'</t>
        </is>
      </c>
      <c r="E433" s="3" t="n">
        <v>180</v>
      </c>
      <c r="F433" s="5" t="inlineStr">
        <is>
          <t>Z3</t>
        </is>
      </c>
      <c r="G433" s="3" t="n">
        <v>6</v>
      </c>
      <c r="H433" s="6">
        <f>"100' EF Z2 (127-140 bpm / "&amp;IF(FTP&gt;0,TEXT(ROUND(FTP*60/500,0)*5,"0"),"?")&amp;"-"&amp;IF(FTP&gt;0,TEXT(ROUND(FTP*70/500,0)*5,"0"),"?")&amp;" W"&amp;") | 3x20' à 147-159 bpm (76-82% FC max / "&amp;IF(FTP&gt;0,TEXT(ROUND(FTP*82/500,0)*5,"0"),"?")&amp;"-"&amp;IF(FTP&gt;0,TEXT(ROUND(FTP*87/500,0)*5,"0"),"?")&amp;" W"&amp;") — r=5'"&amp;CHAR(10)&amp;"Objectif : endurance de tempo, pont vers l'allure IM"&amp;CHAR(10)&amp;"FC bloc cible : 147-159 bpm (76-82% FC max) | Cadence : 85-92 rpm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433" s="3" t="n"/>
      <c r="J433" s="3" t="n">
        <v>84</v>
      </c>
      <c r="K433" s="3" t="n"/>
    </row>
    <row r="434" ht="36" customHeight="1" s="159">
      <c r="A434" s="175" t="n">
        <v>46492</v>
      </c>
      <c r="B434" s="3" t="inlineStr">
        <is>
          <t>Jeudi</t>
        </is>
      </c>
      <c r="C434" s="7" t="inlineStr">
        <is>
          <t>Course</t>
        </is>
      </c>
      <c r="D434" s="5" t="inlineStr">
        <is>
          <t>EF Z2</t>
        </is>
      </c>
      <c r="E434" s="3" t="n">
        <v>98</v>
      </c>
      <c r="F434" s="5" t="inlineStr">
        <is>
          <t>Z2</t>
        </is>
      </c>
      <c r="G434" s="3" t="n">
        <v>4</v>
      </c>
      <c r="H434" s="6" t="inlineStr">
        <is>
          <t>98' EF Z2 (127-140 bpm)
Allure facile, cadence naturelle
Nutrition : gel à 45'</t>
        </is>
      </c>
      <c r="I434" s="3" t="n">
        <v>16</v>
      </c>
      <c r="J434" s="3" t="n"/>
      <c r="K434" s="3" t="n"/>
    </row>
    <row r="435" ht="72" customHeight="1" s="159">
      <c r="A435" s="175" t="n">
        <v>46492</v>
      </c>
      <c r="B435" s="3" t="inlineStr">
        <is>
          <t>Jeudi</t>
        </is>
      </c>
      <c r="C435" s="9" t="inlineStr">
        <is>
          <t>Natation</t>
        </is>
      </c>
      <c r="D435" s="5" t="inlineStr">
        <is>
          <t>Natation endurance</t>
        </is>
      </c>
      <c r="E435" s="3" t="n">
        <v>78</v>
      </c>
      <c r="F435" s="5" t="inlineStr">
        <is>
          <t>-</t>
        </is>
      </c>
      <c r="G435" s="3" t="n">
        <v>4</v>
      </c>
      <c r="H435" s="6" t="inlineStr">
        <is>
          <t>Échauffement : 200 m souple (110-126 bpm, 2:23/100 m)
Série principale : 9 x 300 m à allure soutenue (135-148 bpm, 2:06/100 m) — repos 20 s + 100 m à la suite, même allure
Retour au calme : 200 m souple (110-126 bpm)
Consigne : allure constante sur chaque répétition ; sighting toutes les 6-8 cycles de bras
Total : 3200 m</t>
        </is>
      </c>
      <c r="I435" s="3" t="n"/>
      <c r="J435" s="3" t="n"/>
      <c r="K435" s="3" t="n">
        <v>3200</v>
      </c>
    </row>
    <row r="436" ht="24" customHeight="1" s="159">
      <c r="A436" s="175" t="n">
        <v>46493</v>
      </c>
      <c r="B436" s="3" t="inlineStr">
        <is>
          <t>Vendredi</t>
        </is>
      </c>
      <c r="C436" s="7" t="inlineStr">
        <is>
          <t>Course</t>
        </is>
      </c>
      <c r="D436" s="5" t="inlineStr">
        <is>
          <t>EF Z2 — court</t>
        </is>
      </c>
      <c r="E436" s="3" t="n">
        <v>40</v>
      </c>
      <c r="F436" s="5" t="inlineStr">
        <is>
          <t>Z1-Z2</t>
        </is>
      </c>
      <c r="G436" s="3" t="n">
        <v>2</v>
      </c>
      <c r="H436" s="6" t="inlineStr">
        <is>
          <t>40' EF Z1-Z2 (120-135 bpm) — COURT
Vraie récup — pas de strides</t>
        </is>
      </c>
      <c r="I436" s="3" t="n">
        <v>6</v>
      </c>
      <c r="J436" s="3" t="n"/>
      <c r="K436" s="3" t="n"/>
    </row>
    <row r="437" ht="60" customHeight="1" s="159">
      <c r="A437" s="175" t="n">
        <v>46493</v>
      </c>
      <c r="B437" s="3" t="inlineStr">
        <is>
          <t>Vendredi</t>
        </is>
      </c>
      <c r="C437" s="8" t="inlineStr">
        <is>
          <t>Vélo</t>
        </is>
      </c>
      <c r="D437" s="5" t="inlineStr">
        <is>
          <t>Force spécifique</t>
        </is>
      </c>
      <c r="E437" s="3" t="n">
        <v>146</v>
      </c>
      <c r="F437" s="5" t="inlineStr">
        <is>
          <t>Z2-Z3</t>
        </is>
      </c>
      <c r="G437" s="3" t="n">
        <v>5</v>
      </c>
      <c r="H437" s="6">
        <f>"99' EF (127-140 bpm / "&amp;IF(FTP&gt;0,TEXT(ROUND(FTP*60/500,0)*5,"0"),"?")&amp;"-"&amp;IF(FTP&gt;0,TEXT(ROUND(FTP*70/500,0)*5,"0"),"?")&amp;" W"&amp;") | 5x5'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437" s="3" t="n"/>
      <c r="J437" s="3" t="n">
        <v>68</v>
      </c>
      <c r="K437" s="3" t="n"/>
    </row>
    <row r="438" ht="84" customHeight="1" s="159">
      <c r="A438" s="175" t="n">
        <v>46494</v>
      </c>
      <c r="B438" s="3" t="inlineStr">
        <is>
          <t>Samedi</t>
        </is>
      </c>
      <c r="C438" s="9" t="inlineStr">
        <is>
          <t>Natation</t>
        </is>
      </c>
      <c r="D438" s="5" t="inlineStr">
        <is>
          <t>Natation technique + bloc IM</t>
        </is>
      </c>
      <c r="E438" s="3" t="n">
        <v>108</v>
      </c>
      <c r="F438" s="5" t="inlineStr">
        <is>
          <t>-</t>
        </is>
      </c>
      <c r="G438" s="3" t="n">
        <v>5</v>
      </c>
      <c r="H438" s="6" t="inlineStr">
        <is>
          <t>Échauffement : 4 x 50 m facile (108-117 bpm) — repos 30 s
Éducatifs : 8 x 50 m (catch-up, finger drag, sighting) — repos 30 s
Bloc continu : 2500 m à allure IM, sans arrêt (135-148 bpm, 2:09/100 m) — sighting toutes les 6-8 cycles de bras
Pull buoy : 9 x 100 m (135-148 bpm, 2:06/100 m) — repos 30 s
Retour au calme : 200 m souple (110-126 bpm)
Total : 4200 m</t>
        </is>
      </c>
      <c r="I438" s="3" t="n"/>
      <c r="J438" s="3" t="n"/>
      <c r="K438" s="3" t="n">
        <v>4200</v>
      </c>
    </row>
    <row r="439" ht="36" customHeight="1" s="159">
      <c r="A439" s="175" t="n">
        <v>46494</v>
      </c>
      <c r="B439" s="3" t="inlineStr">
        <is>
          <t>Samedi</t>
        </is>
      </c>
      <c r="C439" s="7" t="inlineStr">
        <is>
          <t>Course</t>
        </is>
      </c>
      <c r="D439" s="5" t="inlineStr">
        <is>
          <t>SORTIE LONGUE Z2 + fin allure IM — 172' (28 km)</t>
        </is>
      </c>
      <c r="E439" s="3" t="n">
        <v>172</v>
      </c>
      <c r="F439" s="5" t="inlineStr">
        <is>
          <t>Z2-Z3</t>
        </is>
      </c>
      <c r="G439" s="3" t="n">
        <v>6</v>
      </c>
      <c r="H439" s="6" t="inlineStr">
        <is>
          <t>162' Z2 (127-140 bpm) | 8' allure IM (150-155 bpm) | 2' RC
FC &lt; 141 bpm sur 85% du temps
Nutrition : gel à 45', 90' et 135'</t>
        </is>
      </c>
      <c r="I439" s="3" t="n">
        <v>28</v>
      </c>
      <c r="J439" s="3" t="n"/>
      <c r="K439" s="3" t="n"/>
    </row>
    <row r="440" ht="36" customHeight="1" s="159">
      <c r="A440" s="175" t="n">
        <v>46495</v>
      </c>
      <c r="B440" s="3" t="inlineStr">
        <is>
          <t>Dimanche</t>
        </is>
      </c>
      <c r="C440" s="8" t="inlineStr">
        <is>
          <t>Vélo</t>
        </is>
      </c>
      <c r="D440" s="5" t="inlineStr">
        <is>
          <t>Sortie longue — 364' (170.0 km)</t>
        </is>
      </c>
      <c r="E440" s="3" t="n">
        <v>364</v>
      </c>
      <c r="F440" s="5" t="inlineStr">
        <is>
          <t>Z2-Z3</t>
        </is>
      </c>
      <c r="G440" s="3" t="n">
        <v>6</v>
      </c>
      <c r="H440" s="6">
        <f>"364' Z2 (127-140 bpm / "&amp;IF(FTP&gt;0,TEXT(ROUND(FTP*60/500,0)*5,"0"),"?")&amp;"-"&amp;IF(FTP&gt;0,TEXT(ROUND(FTP*70/500,0)*5,"0"),"?")&amp;" W"&amp;")"&amp;CHAR(10)&amp;"Cadence 85-92 rpm"&amp;CHAR(10)&amp;"NUTRITION : 90g glucides/h si &gt;60'"</f>
        <v/>
      </c>
      <c r="I440" s="3" t="n"/>
      <c r="J440" s="3" t="n">
        <v>170</v>
      </c>
      <c r="K440" s="3" t="n"/>
    </row>
    <row r="441" ht="24" customHeight="1" s="159">
      <c r="A441" s="175" t="n">
        <v>46495</v>
      </c>
      <c r="B441" s="3" t="inlineStr">
        <is>
          <t>Dimanche</t>
        </is>
      </c>
      <c r="C441" s="7" t="inlineStr">
        <is>
          <t>Course</t>
        </is>
      </c>
      <c r="D441" s="5" t="inlineStr">
        <is>
          <t>CAP en Brick — 35'</t>
        </is>
      </c>
      <c r="E441" s="3" t="n">
        <v>35</v>
      </c>
      <c r="F441" s="5" t="inlineStr">
        <is>
          <t>Z2-Z3</t>
        </is>
      </c>
      <c r="G441" s="3" t="n">
        <v>4</v>
      </c>
      <c r="H441" s="6" t="inlineStr">
        <is>
          <t>Transition directe après vélo — 35' @ Z2-Z3 (127-155 bpm)
Adaptation transition vélo→CAP</t>
        </is>
      </c>
      <c r="I441" s="3" t="n">
        <v>6</v>
      </c>
      <c r="J441" s="3" t="n"/>
      <c r="K441" s="3" t="n"/>
    </row>
    <row r="442" ht="60" customHeight="1" s="159">
      <c r="A442" s="175" t="n">
        <v>46495</v>
      </c>
      <c r="B442" s="3" t="inlineStr">
        <is>
          <t>Dimanche</t>
        </is>
      </c>
      <c r="C442" s="9" t="inlineStr">
        <is>
          <t>Natation</t>
        </is>
      </c>
      <c r="D442" s="5" t="inlineStr">
        <is>
          <t>Natation récupération</t>
        </is>
      </c>
      <c r="E442" s="3" t="n">
        <v>81</v>
      </c>
      <c r="F442" s="5" t="inlineStr">
        <is>
          <t>-</t>
        </is>
      </c>
      <c r="G442" s="3" t="n">
        <v>2</v>
      </c>
      <c r="H442" s="6" t="inlineStr">
        <is>
          <t>Échauffement : 200 m souple (110-126 bpm)
Série : 25 x 100 m technique, nage relâchée (110-120 bpm) — repos 30 s + 50 m souple
Retour au calme : 50 m souple
Consigne : séance de récupération : relâchement, amplitude, aucune recherche de vitesse
Total : 2800 m</t>
        </is>
      </c>
      <c r="I442" s="3" t="n"/>
      <c r="J442" s="3" t="n"/>
      <c r="K442" s="3" t="n">
        <v>2800</v>
      </c>
    </row>
    <row r="443" ht="15" customHeight="1" s="159">
      <c r="A443" s="10" t="n"/>
      <c r="B443" s="10" t="n"/>
      <c r="C443" s="10" t="n"/>
      <c r="D443" s="10" t="n"/>
      <c r="E443" s="10" t="n"/>
      <c r="F443" s="10" t="n"/>
      <c r="G443" s="10" t="n"/>
      <c r="H443" s="11" t="inlineStr">
        <is>
          <t>TOTAL SEMAINE</t>
        </is>
      </c>
      <c r="I443" s="10">
        <f>SUM(I430:I442)</f>
        <v/>
      </c>
      <c r="J443" s="10">
        <f>SUM(J430:J442)</f>
        <v/>
      </c>
      <c r="K443" s="10">
        <f>SUM(K430:K442)</f>
        <v/>
      </c>
    </row>
    <row r="444" ht="15" customHeight="1" s="159">
      <c r="A444" s="147" t="inlineStr">
        <is>
          <t xml:space="preserve">  S34 — 19/04/2027 → 25/04/2027   |     Phase 4 — Spécifique IM + COMPETITION Lacanau (25/04, course Z3, pas d'affûtage)</t>
        </is>
      </c>
    </row>
    <row r="445" ht="15" customHeight="1" s="159">
      <c r="A445" s="175" t="n">
        <v>46496</v>
      </c>
      <c r="B445" s="3" t="inlineStr">
        <is>
          <t>Lundi</t>
        </is>
      </c>
      <c r="C445" s="15" t="inlineStr">
        <is>
          <t>Repos</t>
        </is>
      </c>
      <c r="D445" s="5" t="inlineStr">
        <is>
          <t>OFF</t>
        </is>
      </c>
      <c r="E445" s="3" t="inlineStr">
        <is>
          <t>-</t>
        </is>
      </c>
      <c r="F445" s="5" t="inlineStr">
        <is>
          <t>-</t>
        </is>
      </c>
      <c r="G445" s="3" t="n">
        <v>1</v>
      </c>
      <c r="H445" s="6" t="inlineStr">
        <is>
          <t>Repos complet</t>
        </is>
      </c>
      <c r="I445" s="3" t="n"/>
      <c r="J445" s="3" t="n"/>
      <c r="K445" s="3" t="n"/>
    </row>
    <row r="446" ht="108" customHeight="1" s="159">
      <c r="A446" s="175" t="n">
        <v>46497</v>
      </c>
      <c r="B446" s="3" t="inlineStr">
        <is>
          <t>Mardi</t>
        </is>
      </c>
      <c r="C446" s="7" t="inlineStr">
        <is>
          <t>Course</t>
        </is>
      </c>
      <c r="D446" s="5" t="inlineStr">
        <is>
          <t>Qualité — 2km/1km x3 (Tempo / allure IM)</t>
        </is>
      </c>
      <c r="E446" s="3" t="n">
        <v>69</v>
      </c>
      <c r="F446" s="5" t="inlineStr">
        <is>
          <t>Z3-Z4</t>
        </is>
      </c>
      <c r="G446" s="3" t="n">
        <v>7</v>
      </c>
      <c r="H446" s="6" t="inlineStr">
        <is>
          <t>Objectif : spécificité Ironman : relances au-dessus de l'allure IM puis retour à l'allure IM (150-155 bpm), sans récupération
14' EF Z2 (127-140 bpm)
3 x [2 km à 85% FC max (165 bpm) + 1 km à allure IM (150-155 bpm)]
enchaînés, sans récupération
10' EF Z2 (127-140 bpm)</t>
        </is>
      </c>
      <c r="I446" s="3" t="n">
        <v>13</v>
      </c>
      <c r="J446" s="3" t="n"/>
      <c r="K446" s="3" t="n"/>
    </row>
    <row r="447" ht="24" customHeight="1" s="159">
      <c r="A447" s="175" t="n">
        <v>46497</v>
      </c>
      <c r="B447" s="3" t="inlineStr">
        <is>
          <t>Mardi</t>
        </is>
      </c>
      <c r="C447" s="8" t="inlineStr">
        <is>
          <t>Vélo</t>
        </is>
      </c>
      <c r="D447" s="5" t="inlineStr">
        <is>
          <t>Vélo récupération Z1</t>
        </is>
      </c>
      <c r="E447" s="3" t="n">
        <v>60</v>
      </c>
      <c r="F447" s="5" t="inlineStr">
        <is>
          <t>Z2</t>
        </is>
      </c>
      <c r="G447" s="3" t="n">
        <v>2</v>
      </c>
      <c r="H447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447" s="3" t="n"/>
      <c r="J447" s="3" t="n">
        <v>28</v>
      </c>
      <c r="K447" s="3" t="n"/>
    </row>
    <row r="448" ht="72" customHeight="1" s="159">
      <c r="A448" s="175" t="n">
        <v>46498</v>
      </c>
      <c r="B448" s="3" t="inlineStr">
        <is>
          <t>Mercredi</t>
        </is>
      </c>
      <c r="C448" s="8" t="inlineStr">
        <is>
          <t>Vélo</t>
        </is>
      </c>
      <c r="D448" s="5" t="inlineStr">
        <is>
          <t>Vélo clé — 2x25' @ 90% FTP — r=5'</t>
        </is>
      </c>
      <c r="E448" s="3" t="n">
        <v>132</v>
      </c>
      <c r="F448" s="5" t="inlineStr">
        <is>
          <t>Z3</t>
        </is>
      </c>
      <c r="G448" s="3" t="n">
        <v>6</v>
      </c>
      <c r="H448" s="6">
        <f>"67' EF Z2 (127-140 bpm / "&amp;IF(FTP&gt;0,TEXT(ROUND(FTP*60/500,0)*5,"0"),"?")&amp;"-"&amp;IF(FTP&gt;0,TEXT(ROUND(FTP*70/500,0)*5,"0"),"?")&amp;" W"&amp;") | 2x25' @ 90% FTP ("&amp;IF(FTP&gt;0,TEXT(ROUND(FTP*90/500,0)*5,"0"),"?")&amp;" W"&amp;") — r=5'"&amp;CHAR(10)&amp;"Objectif : rester juste sous le seuil lactique, séance complète — Lacanau est une course en Z3, pas d'affûtage"&amp;CHAR(10)&amp;"FC bloc cible : ~163 bpm (84% FC max = ton seuil lactique) | Cadence : 87-93 rpm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448" s="3" t="n"/>
      <c r="J448" s="3" t="n">
        <v>60</v>
      </c>
      <c r="K448" s="3" t="n"/>
    </row>
    <row r="449" ht="60" customHeight="1" s="159">
      <c r="A449" s="175" t="n">
        <v>46499</v>
      </c>
      <c r="B449" s="3" t="inlineStr">
        <is>
          <t>Jeudi</t>
        </is>
      </c>
      <c r="C449" s="9" t="inlineStr">
        <is>
          <t>Natation</t>
        </is>
      </c>
      <c r="D449" s="5" t="inlineStr">
        <is>
          <t>Natation récupération</t>
        </is>
      </c>
      <c r="E449" s="3" t="n">
        <v>84</v>
      </c>
      <c r="F449" s="5" t="inlineStr">
        <is>
          <t>-</t>
        </is>
      </c>
      <c r="G449" s="3" t="n">
        <v>2</v>
      </c>
      <c r="H449" s="6" t="inlineStr">
        <is>
          <t>Échauffement : 200 m souple (110-126 bpm)
Série : 26 x 100 m technique, nage relâchée (110-120 bpm) — repos 30 s + 50 m souple
Retour au calme : 50 m souple
Consigne : séance de récupération : relâchement, amplitude, aucune recherche de vitesse
Total : 2900 m</t>
        </is>
      </c>
      <c r="I449" s="3" t="n"/>
      <c r="J449" s="3" t="n"/>
      <c r="K449" s="3" t="n">
        <v>2900</v>
      </c>
    </row>
    <row r="450" ht="24" customHeight="1" s="159">
      <c r="A450" s="175" t="n">
        <v>46499</v>
      </c>
      <c r="B450" s="3" t="inlineStr">
        <is>
          <t>Jeudi</t>
        </is>
      </c>
      <c r="C450" s="7" t="inlineStr">
        <is>
          <t>Course</t>
        </is>
      </c>
      <c r="D450" s="5" t="inlineStr">
        <is>
          <t>EF + strides</t>
        </is>
      </c>
      <c r="E450" s="3" t="n">
        <v>65</v>
      </c>
      <c r="F450" s="5" t="inlineStr">
        <is>
          <t>Z1-Z2</t>
        </is>
      </c>
      <c r="G450" s="3" t="n">
        <v>2</v>
      </c>
      <c r="H450" s="6" t="inlineStr">
        <is>
          <t>65' EF Z2 (127-140 bpm) | 4x20'' strides
Jamais &gt; Z2</t>
        </is>
      </c>
      <c r="I450" s="3" t="n">
        <v>10.5</v>
      </c>
      <c r="J450" s="3" t="n"/>
      <c r="K450" s="3" t="n"/>
    </row>
    <row r="451" ht="24" customHeight="1" s="159">
      <c r="A451" s="175" t="n">
        <v>46500</v>
      </c>
      <c r="B451" s="3" t="inlineStr">
        <is>
          <t>Vendredi</t>
        </is>
      </c>
      <c r="C451" s="7" t="inlineStr">
        <is>
          <t>Course</t>
        </is>
      </c>
      <c r="D451" s="5" t="inlineStr">
        <is>
          <t>EF Z2 — court</t>
        </is>
      </c>
      <c r="E451" s="3" t="n">
        <v>20</v>
      </c>
      <c r="F451" s="5" t="inlineStr">
        <is>
          <t>Z1-Z2</t>
        </is>
      </c>
      <c r="G451" s="3" t="n">
        <v>2</v>
      </c>
      <c r="H451" s="6" t="inlineStr">
        <is>
          <t>20' EF Z1-Z2 (120-135 bpm) — COURT
Vraie récup — pas de strides</t>
        </is>
      </c>
      <c r="I451" s="3" t="n">
        <v>3</v>
      </c>
      <c r="J451" s="3" t="n"/>
      <c r="K451" s="3" t="n"/>
    </row>
    <row r="452" ht="48" customHeight="1" s="159">
      <c r="A452" s="175" t="n">
        <v>46500</v>
      </c>
      <c r="B452" s="3" t="inlineStr">
        <is>
          <t>Vendredi</t>
        </is>
      </c>
      <c r="C452" s="8" t="inlineStr">
        <is>
          <t>Vélo</t>
        </is>
      </c>
      <c r="D452" s="5" t="inlineStr">
        <is>
          <t>Force légère</t>
        </is>
      </c>
      <c r="E452" s="3" t="n">
        <v>51</v>
      </c>
      <c r="F452" s="5" t="inlineStr">
        <is>
          <t>Z2-Z3</t>
        </is>
      </c>
      <c r="G452" s="3" t="n">
        <v>3</v>
      </c>
      <c r="H452" s="6">
        <f>"26' EF (127-140 bpm / "&amp;IF(FTP&gt;0,TEXT(ROUND(FTP*60/500,0)*5,"0"),"?")&amp;"-"&amp;IF(FTP&gt;0,TEXT(ROUND(FTP*70/500,0)*5,"0"),"?")&amp;" W"&amp;") | 3x3'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452" s="3" t="n"/>
      <c r="J452" s="3" t="n">
        <v>24</v>
      </c>
      <c r="K452" s="3" t="n"/>
    </row>
    <row r="453" ht="60" customHeight="1" s="159">
      <c r="A453" s="175" t="n">
        <v>46501</v>
      </c>
      <c r="B453" s="3" t="inlineStr">
        <is>
          <t>Samedi</t>
        </is>
      </c>
      <c r="C453" s="9" t="inlineStr">
        <is>
          <t>Natation</t>
        </is>
      </c>
      <c r="D453" s="5" t="inlineStr">
        <is>
          <t>Natation technique légère — shakeout</t>
        </is>
      </c>
      <c r="E453" s="3" t="n">
        <v>44</v>
      </c>
      <c r="F453" s="5" t="inlineStr">
        <is>
          <t>-</t>
        </is>
      </c>
      <c r="G453" s="3" t="n">
        <v>3</v>
      </c>
      <c r="H453" s="6" t="inlineStr">
        <is>
          <t>Échauffement : 300 m souple (110-126 bpm, 2:23/100 m)
Série : 8 x 100 m progressif (du souple à l'allure course) — repos 20 s
Activation : 4 x 50 m à allure course (135-148 bpm, 2:09/100 m) — repos 20 s
Retour au calme : 200 m souple
Total : 1500 m</t>
        </is>
      </c>
      <c r="I453" s="3" t="n"/>
      <c r="J453" s="3" t="n"/>
      <c r="K453" s="3" t="n">
        <v>1500</v>
      </c>
    </row>
    <row r="454" ht="15" customHeight="1" s="159">
      <c r="A454" s="175" t="n">
        <v>46501</v>
      </c>
      <c r="B454" s="3" t="inlineStr">
        <is>
          <t>Samedi</t>
        </is>
      </c>
      <c r="C454" s="7" t="inlineStr">
        <is>
          <t>Course</t>
        </is>
      </c>
      <c r="D454" s="5" t="inlineStr">
        <is>
          <t>EF très léger — veille course</t>
        </is>
      </c>
      <c r="E454" s="3" t="n">
        <v>15</v>
      </c>
      <c r="F454" s="5" t="inlineStr">
        <is>
          <t>Z1-Z2</t>
        </is>
      </c>
      <c r="G454" s="3" t="n">
        <v>2</v>
      </c>
      <c r="H454" s="6" t="inlineStr">
        <is>
          <t>15' EF très facile (127-140 bpm) — jambes fraîches</t>
        </is>
      </c>
      <c r="I454" s="3" t="n">
        <v>2.5</v>
      </c>
      <c r="J454" s="3" t="n"/>
      <c r="K454" s="3" t="n"/>
    </row>
    <row r="455" ht="36" customHeight="1" s="159">
      <c r="A455" s="175" t="n">
        <v>46501</v>
      </c>
      <c r="B455" s="3" t="inlineStr">
        <is>
          <t>Samedi</t>
        </is>
      </c>
      <c r="C455" s="8" t="inlineStr">
        <is>
          <t>Vélo</t>
        </is>
      </c>
      <c r="D455" s="5" t="inlineStr">
        <is>
          <t>Vérification matériel — dépôt parc à vélo</t>
        </is>
      </c>
      <c r="E455" s="3" t="n">
        <v>15</v>
      </c>
      <c r="F455" s="5" t="inlineStr">
        <is>
          <t>Z1-Z2</t>
        </is>
      </c>
      <c r="G455" s="3" t="n">
        <v>2</v>
      </c>
      <c r="H455" s="6">
        <f>"15' Z2 très facile (127-140 bpm / "&amp;IF(FTP&gt;0,TEXT(ROUND(FTP*50/500,0)*5,"0"),"?")&amp;"-"&amp;IF(FTP&gt;0,TEXT(ROUND(FTP*60/500,0)*5,"0"),"?")&amp;" W"&amp;") — vérification matériel / dépôt sac T1-T2"</f>
        <v/>
      </c>
      <c r="I455" s="3" t="n"/>
      <c r="J455" s="3" t="n">
        <v>7</v>
      </c>
      <c r="K455" s="3" t="n"/>
    </row>
    <row r="456" ht="60" customHeight="1" s="159">
      <c r="A456" s="175" t="n">
        <v>46502</v>
      </c>
      <c r="B456" s="13" t="inlineStr">
        <is>
          <t>Dimanche</t>
        </is>
      </c>
      <c r="C456" s="9" t="inlineStr">
        <is>
          <t>Course</t>
        </is>
      </c>
      <c r="D456" s="13" t="inlineStr">
        <is>
          <t>COMPETITION — Triathlon L La Canau</t>
        </is>
      </c>
      <c r="E456" s="13" t="inlineStr">
        <is>
          <t>-</t>
        </is>
      </c>
      <c r="F456" s="13" t="inlineStr">
        <is>
          <t>Z2</t>
        </is>
      </c>
      <c r="G456" s="13" t="n">
        <v>3</v>
      </c>
      <c r="H456" s="16" t="inlineStr">
        <is>
          <t>Jour J — Triathlon de Lacanau, format L (ce n'est pas l'objectif principal — course de préparation)
Natation 1,9 km + Vélo 85 km + Course 21 km
À relever : FC moyenne du semi et puissance normalisée du vélo — elles servent à valider l'allure IM course (Repères course) et vélo (Repères vélo)</t>
        </is>
      </c>
      <c r="I456" s="13" t="n">
        <v>21</v>
      </c>
      <c r="J456" s="13" t="n">
        <v>85</v>
      </c>
      <c r="K456" s="13" t="n">
        <v>1900</v>
      </c>
    </row>
    <row r="457" ht="15" customHeight="1" s="159">
      <c r="A457" s="10" t="n"/>
      <c r="B457" s="10" t="n"/>
      <c r="C457" s="10" t="n"/>
      <c r="D457" s="10" t="n"/>
      <c r="E457" s="10" t="n"/>
      <c r="F457" s="10" t="n"/>
      <c r="G457" s="10" t="n"/>
      <c r="H457" s="11" t="inlineStr">
        <is>
          <t>TOTAL SEMAINE</t>
        </is>
      </c>
      <c r="I457" s="10">
        <f>SUM(I445:I456)</f>
        <v/>
      </c>
      <c r="J457" s="10">
        <f>SUM(J445:J456)</f>
        <v/>
      </c>
      <c r="K457" s="10">
        <f>SUM(K445:K456)</f>
        <v/>
      </c>
    </row>
    <row r="458" ht="15" customHeight="1" s="159">
      <c r="A458" s="176" t="inlineStr">
        <is>
          <t xml:space="preserve">  S35 — 26/04/2027 → 02/05/2027   |     Reprise post-Lacanau (allégée)</t>
        </is>
      </c>
      <c r="B458" s="177" t="n"/>
      <c r="C458" s="177" t="n"/>
      <c r="D458" s="177" t="n"/>
      <c r="E458" s="177" t="n"/>
      <c r="F458" s="177" t="n"/>
      <c r="G458" s="177" t="n"/>
      <c r="H458" s="177" t="n"/>
      <c r="I458" s="177" t="n"/>
      <c r="J458" s="177" t="n"/>
      <c r="K458" s="178" t="n"/>
    </row>
    <row r="459" ht="15" customHeight="1" s="159">
      <c r="A459" s="175" t="n">
        <v>46503</v>
      </c>
      <c r="B459" s="3" t="inlineStr">
        <is>
          <t>Lundi</t>
        </is>
      </c>
      <c r="C459" s="15" t="inlineStr">
        <is>
          <t>Repos</t>
        </is>
      </c>
      <c r="D459" s="5" t="inlineStr">
        <is>
          <t>OFF</t>
        </is>
      </c>
      <c r="E459" s="3" t="inlineStr">
        <is>
          <t>-</t>
        </is>
      </c>
      <c r="F459" s="5" t="inlineStr">
        <is>
          <t>-</t>
        </is>
      </c>
      <c r="G459" s="3" t="n">
        <v>1</v>
      </c>
      <c r="H459" s="6" t="inlineStr">
        <is>
          <t>Repos complet — récupération post-course</t>
        </is>
      </c>
      <c r="I459" s="3" t="n"/>
      <c r="J459" s="3" t="n"/>
      <c r="K459" s="3" t="n"/>
    </row>
    <row r="460" ht="15" customHeight="1" s="159">
      <c r="A460" s="175" t="n">
        <v>46504</v>
      </c>
      <c r="B460" s="3" t="inlineStr">
        <is>
          <t>Mardi</t>
        </is>
      </c>
      <c r="C460" s="7" t="inlineStr">
        <is>
          <t>Course</t>
        </is>
      </c>
      <c r="D460" s="5" t="inlineStr">
        <is>
          <t>EF très facile</t>
        </is>
      </c>
      <c r="E460" s="3" t="n">
        <v>30</v>
      </c>
      <c r="F460" s="5" t="inlineStr">
        <is>
          <t>Z1</t>
        </is>
      </c>
      <c r="G460" s="3" t="n">
        <v>2</v>
      </c>
      <c r="H460" s="6" t="inlineStr">
        <is>
          <t>30' EF très facile Z1 (&lt; 127 bpm) — 2 jours après Lacanau
Aucune intensité, arrêter si douleur</t>
        </is>
      </c>
      <c r="I460" s="3" t="n">
        <v>5</v>
      </c>
      <c r="J460" s="3" t="n"/>
      <c r="K460" s="3" t="n"/>
    </row>
    <row r="461" ht="24" customHeight="1" s="159">
      <c r="A461" s="175" t="n">
        <v>46504</v>
      </c>
      <c r="B461" s="3" t="inlineStr">
        <is>
          <t>Mardi</t>
        </is>
      </c>
      <c r="C461" s="8" t="inlineStr">
        <is>
          <t>Vélo</t>
        </is>
      </c>
      <c r="D461" s="5" t="inlineStr">
        <is>
          <t>Vélo récupération Z1</t>
        </is>
      </c>
      <c r="E461" s="3" t="n">
        <v>60</v>
      </c>
      <c r="F461" s="5" t="inlineStr">
        <is>
          <t>Z2</t>
        </is>
      </c>
      <c r="G461" s="3" t="n">
        <v>2</v>
      </c>
      <c r="H461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461" s="3" t="n"/>
      <c r="J461" s="3" t="n">
        <v>28</v>
      </c>
      <c r="K461" s="3" t="n"/>
    </row>
    <row r="462" ht="36" customHeight="1" s="159">
      <c r="A462" s="175" t="n">
        <v>46505</v>
      </c>
      <c r="B462" s="3" t="inlineStr">
        <is>
          <t>Mercredi</t>
        </is>
      </c>
      <c r="C462" s="8" t="inlineStr">
        <is>
          <t>Vélo</t>
        </is>
      </c>
      <c r="D462" s="5" t="inlineStr">
        <is>
          <t>Vélo Z2 — facile</t>
        </is>
      </c>
      <c r="E462" s="3" t="n">
        <v>118</v>
      </c>
      <c r="F462" s="5" t="inlineStr">
        <is>
          <t>Z2</t>
        </is>
      </c>
      <c r="G462" s="3" t="n">
        <v>2</v>
      </c>
      <c r="H462" s="6">
        <f>"118' Z2 (127-140 bpm / "&amp;IF(FTP&gt;0,TEXT(ROUND(FTP*60/500,0)*5,"0"),"?")&amp;"-"&amp;IF(FTP&gt;0,TEXT(ROUND(FTP*70/500,0)*5,"0"),"?")&amp;" W"&amp;") — Z2 facile, pas de bloc FTP (reprise post-Lacanau)"&amp;CHAR(10)&amp;"Cadence souple 85-90 rpm"&amp;CHAR(10)&amp;"NUTRITION : 90g glucides/h si &gt;90'"</f>
        <v/>
      </c>
      <c r="I462" s="3" t="n"/>
      <c r="J462" s="3" t="n">
        <v>55</v>
      </c>
      <c r="K462" s="3" t="n"/>
    </row>
    <row r="463" ht="72" customHeight="1" s="159">
      <c r="A463" s="175" t="n">
        <v>46506</v>
      </c>
      <c r="B463" s="3" t="inlineStr">
        <is>
          <t>Jeudi</t>
        </is>
      </c>
      <c r="C463" s="9" t="inlineStr">
        <is>
          <t>Natation</t>
        </is>
      </c>
      <c r="D463" s="5" t="inlineStr">
        <is>
          <t>Natation endurance</t>
        </is>
      </c>
      <c r="E463" s="3" t="n">
        <v>61</v>
      </c>
      <c r="F463" s="5" t="inlineStr">
        <is>
          <t>-</t>
        </is>
      </c>
      <c r="G463" s="3" t="n">
        <v>4</v>
      </c>
      <c r="H463" s="6" t="inlineStr">
        <is>
          <t>Échauffement : 200 m souple (110-126 bpm, 2:23/100 m)
Série principale : 6 x 300 m à allure soutenue (135-148 bpm, 2:06/100 m) — repos 20 s + 200 m à la suite, même allure
Retour au calme : 200 m souple (110-126 bpm)
Consigne : allure constante sur chaque répétition ; sighting toutes les 6-8 cycles de bras
Total : 2400 m</t>
        </is>
      </c>
      <c r="I463" s="3" t="n"/>
      <c r="J463" s="3" t="n"/>
      <c r="K463" s="3" t="n">
        <v>2400</v>
      </c>
    </row>
    <row r="464" ht="24" customHeight="1" s="159">
      <c r="A464" s="175" t="n">
        <v>46506</v>
      </c>
      <c r="B464" s="3" t="inlineStr">
        <is>
          <t>Jeudi</t>
        </is>
      </c>
      <c r="C464" s="7" t="inlineStr">
        <is>
          <t>Course</t>
        </is>
      </c>
      <c r="D464" s="5" t="inlineStr">
        <is>
          <t>EF + strides</t>
        </is>
      </c>
      <c r="E464" s="3" t="n">
        <v>80</v>
      </c>
      <c r="F464" s="5" t="inlineStr">
        <is>
          <t>Z1-Z2</t>
        </is>
      </c>
      <c r="G464" s="3" t="n">
        <v>2</v>
      </c>
      <c r="H464" s="6" t="inlineStr">
        <is>
          <t>80' EF Z2 (127-140 bpm) | 4x20'' strides
Jamais &gt; Z2</t>
        </is>
      </c>
      <c r="I464" s="3" t="n">
        <v>13</v>
      </c>
      <c r="J464" s="3" t="n"/>
      <c r="K464" s="3" t="n"/>
    </row>
    <row r="465" ht="24" customHeight="1" s="159">
      <c r="A465" s="175" t="n">
        <v>46507</v>
      </c>
      <c r="B465" s="3" t="inlineStr">
        <is>
          <t>Vendredi</t>
        </is>
      </c>
      <c r="C465" s="7" t="inlineStr">
        <is>
          <t>Course</t>
        </is>
      </c>
      <c r="D465" s="5" t="inlineStr">
        <is>
          <t>EF Z2 — court</t>
        </is>
      </c>
      <c r="E465" s="3" t="n">
        <v>33</v>
      </c>
      <c r="F465" s="5" t="inlineStr">
        <is>
          <t>Z1-Z2</t>
        </is>
      </c>
      <c r="G465" s="3" t="n">
        <v>2</v>
      </c>
      <c r="H465" s="6" t="inlineStr">
        <is>
          <t>33' EF Z1-Z2 (120-135 bpm) — COURT
Vraie récup — pas de strides</t>
        </is>
      </c>
      <c r="I465" s="3" t="n">
        <v>5</v>
      </c>
      <c r="J465" s="3" t="n"/>
      <c r="K465" s="3" t="n"/>
    </row>
    <row r="466" ht="24" customHeight="1" s="159">
      <c r="A466" s="175" t="n">
        <v>46507</v>
      </c>
      <c r="B466" s="3" t="inlineStr">
        <is>
          <t>Vendredi</t>
        </is>
      </c>
      <c r="C466" s="8" t="inlineStr">
        <is>
          <t>Vélo</t>
        </is>
      </c>
      <c r="D466" s="5" t="inlineStr">
        <is>
          <t>Vélo Z2 léger</t>
        </is>
      </c>
      <c r="E466" s="3" t="n">
        <v>75</v>
      </c>
      <c r="F466" s="5" t="inlineStr">
        <is>
          <t>Z2</t>
        </is>
      </c>
      <c r="G466" s="3" t="n">
        <v>2</v>
      </c>
      <c r="H466" s="6">
        <f>"75' Z2 facile (127-140 bpm / "&amp;IF(FTP&gt;0,TEXT(ROUND(FTP*60/500,0)*5,"0"),"?")&amp;"-"&amp;IF(FTP&gt;0,TEXT(ROUND(FTP*70/500,0)*5,"0"),"?")&amp;" W"&amp;")"&amp;CHAR(10)&amp;"Cadence souple 85-90 rpm"</f>
        <v/>
      </c>
      <c r="I466" s="3" t="n"/>
      <c r="J466" s="3" t="n">
        <v>35</v>
      </c>
      <c r="K466" s="3" t="n"/>
    </row>
    <row r="467" ht="84" customHeight="1" s="159">
      <c r="A467" s="175" t="n">
        <v>46508</v>
      </c>
      <c r="B467" s="3" t="inlineStr">
        <is>
          <t>Samedi</t>
        </is>
      </c>
      <c r="C467" s="9" t="inlineStr">
        <is>
          <t>Natation</t>
        </is>
      </c>
      <c r="D467" s="5" t="inlineStr">
        <is>
          <t>Natation technique + bloc IM</t>
        </is>
      </c>
      <c r="E467" s="3" t="n">
        <v>88</v>
      </c>
      <c r="F467" s="5" t="inlineStr">
        <is>
          <t>-</t>
        </is>
      </c>
      <c r="G467" s="3" t="n">
        <v>3</v>
      </c>
      <c r="H467" s="6" t="inlineStr">
        <is>
          <t>Échauffement : 4 x 50 m facile (108-117 bpm) — repos 30 s
Éducatifs : 8 x 50 m (catch-up, finger drag, sighting) — repos 30 s
Bloc continu : 1300 m à allure IM, sans arrêt (135-148 bpm, 2:09/100 m) — sighting toutes les 6-8 cycles de bras
Pull buoy : 11 x 100 m (135-148 bpm, 2:06/100 m) — repos 30 s
Retour au calme : 200 m souple (110-126 bpm)
Total : 3200 m</t>
        </is>
      </c>
      <c r="I467" s="3" t="n"/>
      <c r="J467" s="3" t="n"/>
      <c r="K467" s="3" t="n">
        <v>3200</v>
      </c>
    </row>
    <row r="468" ht="24" customHeight="1" s="159">
      <c r="A468" s="175" t="n">
        <v>46508</v>
      </c>
      <c r="B468" s="3" t="inlineStr">
        <is>
          <t>Samedi</t>
        </is>
      </c>
      <c r="C468" s="8" t="inlineStr">
        <is>
          <t>Vélo</t>
        </is>
      </c>
      <c r="D468" s="5" t="inlineStr">
        <is>
          <t>Vélo léger — 214' (100.0 km)</t>
        </is>
      </c>
      <c r="E468" s="3" t="n">
        <v>214</v>
      </c>
      <c r="F468" s="5" t="inlineStr">
        <is>
          <t>Z1-Z2</t>
        </is>
      </c>
      <c r="G468" s="3" t="n">
        <v>2</v>
      </c>
      <c r="H468" s="6">
        <f>"214' Z2 (127-140 bpm / "&amp;IF(FTP&gt;0,TEXT(ROUND(FTP*50/500,0)*5,"0"),"?")&amp;"-"&amp;IF(FTP&gt;0,TEXT(ROUND(FTP*60/500,0)*5,"0"),"?")&amp;" W"&amp;") — Z2 léger, reprise du volume"&amp;CHAR(10)&amp;"NUTRITION : 90g glucides/h si &gt;90'"</f>
        <v/>
      </c>
      <c r="I468" s="3" t="n"/>
      <c r="J468" s="3" t="n">
        <v>100</v>
      </c>
      <c r="K468" s="3" t="n"/>
    </row>
    <row r="469" ht="36" customHeight="1" s="159">
      <c r="A469" s="175" t="n">
        <v>46509</v>
      </c>
      <c r="B469" s="3" t="inlineStr">
        <is>
          <t>Dimanche</t>
        </is>
      </c>
      <c r="C469" s="7" t="inlineStr">
        <is>
          <t>Course</t>
        </is>
      </c>
      <c r="D469" s="5" t="inlineStr">
        <is>
          <t>SORTIE LONGUE Z2 — 92' (15 km)</t>
        </is>
      </c>
      <c r="E469" s="3" t="n">
        <v>92</v>
      </c>
      <c r="F469" s="5" t="inlineStr">
        <is>
          <t>Z2</t>
        </is>
      </c>
      <c r="G469" s="3" t="n">
        <v>5</v>
      </c>
      <c r="H469" s="6" t="inlineStr">
        <is>
          <t>Z2 92' — allure conversationnelle
FC : 127-140 bpm
Gel à 45'</t>
        </is>
      </c>
      <c r="I469" s="3" t="n">
        <v>15</v>
      </c>
      <c r="J469" s="3" t="n"/>
      <c r="K469" s="3" t="n"/>
    </row>
    <row r="470" ht="60" customHeight="1" s="159">
      <c r="A470" s="175" t="n">
        <v>46509</v>
      </c>
      <c r="B470" s="3" t="inlineStr">
        <is>
          <t>Dimanche</t>
        </is>
      </c>
      <c r="C470" s="9" t="inlineStr">
        <is>
          <t>Natation</t>
        </is>
      </c>
      <c r="D470" s="5" t="inlineStr">
        <is>
          <t>Natation récupération</t>
        </is>
      </c>
      <c r="E470" s="3" t="n">
        <v>54</v>
      </c>
      <c r="F470" s="5" t="inlineStr">
        <is>
          <t>-</t>
        </is>
      </c>
      <c r="G470" s="3" t="n">
        <v>2</v>
      </c>
      <c r="H470" s="6" t="inlineStr">
        <is>
          <t>Échauffement : 200 m souple (110-126 bpm)
Série : 15 x 100 m technique, nage relâchée (110-120 bpm) — repos 30 s + 50 m souple
Retour au calme : 50 m souple
Consigne : séance de récupération : relâchement, amplitude, aucune recherche de vitesse
Total : 1800 m</t>
        </is>
      </c>
      <c r="I470" s="3" t="n"/>
      <c r="J470" s="3" t="n"/>
      <c r="K470" s="3" t="n">
        <v>1800</v>
      </c>
    </row>
    <row r="471" ht="15" customHeight="1" s="159">
      <c r="A471" s="10" t="n"/>
      <c r="B471" s="10" t="n"/>
      <c r="C471" s="10" t="n"/>
      <c r="D471" s="10" t="n"/>
      <c r="E471" s="10" t="n"/>
      <c r="F471" s="10" t="n"/>
      <c r="G471" s="10" t="n"/>
      <c r="H471" s="11" t="inlineStr">
        <is>
          <t>TOTAL SEMAINE</t>
        </is>
      </c>
      <c r="I471" s="10">
        <f>SUM(I459:I470)</f>
        <v/>
      </c>
      <c r="J471" s="10">
        <f>SUM(J459:J470)</f>
        <v/>
      </c>
      <c r="K471" s="10">
        <f>SUM(K459:K470)</f>
        <v/>
      </c>
    </row>
    <row r="472" ht="15" customHeight="1" s="159">
      <c r="A472" s="176" t="inlineStr">
        <is>
          <t xml:space="preserve">  S36 — 03/05/2027 → 09/05/2027   |     Phase 4 — Reprise progressive post-La Canau</t>
        </is>
      </c>
      <c r="B472" s="177" t="n"/>
      <c r="C472" s="177" t="n"/>
      <c r="D472" s="177" t="n"/>
      <c r="E472" s="177" t="n"/>
      <c r="F472" s="177" t="n"/>
      <c r="G472" s="177" t="n"/>
      <c r="H472" s="177" t="n"/>
      <c r="I472" s="177" t="n"/>
      <c r="J472" s="177" t="n"/>
      <c r="K472" s="178" t="n"/>
    </row>
    <row r="473" ht="15" customHeight="1" s="159">
      <c r="A473" s="175" t="n">
        <v>46510</v>
      </c>
      <c r="B473" s="3" t="inlineStr">
        <is>
          <t>Lundi</t>
        </is>
      </c>
      <c r="C473" s="15" t="inlineStr">
        <is>
          <t>Repos</t>
        </is>
      </c>
      <c r="D473" s="5" t="inlineStr">
        <is>
          <t>OFF</t>
        </is>
      </c>
      <c r="E473" s="3" t="inlineStr">
        <is>
          <t>-</t>
        </is>
      </c>
      <c r="F473" s="5" t="inlineStr">
        <is>
          <t>-</t>
        </is>
      </c>
      <c r="G473" s="3" t="n">
        <v>1</v>
      </c>
      <c r="H473" s="6" t="inlineStr">
        <is>
          <t>Repos complet</t>
        </is>
      </c>
      <c r="I473" s="3" t="n"/>
      <c r="J473" s="3" t="n"/>
      <c r="K473" s="3" t="n"/>
    </row>
    <row r="474" ht="108" customHeight="1" s="159">
      <c r="A474" s="175" t="n">
        <v>46511</v>
      </c>
      <c r="B474" s="3" t="inlineStr">
        <is>
          <t>Mardi</t>
        </is>
      </c>
      <c r="C474" s="7" t="inlineStr">
        <is>
          <t>Course</t>
        </is>
      </c>
      <c r="D474" s="5" t="inlineStr">
        <is>
          <t>Tempo — Jog progressif 66'</t>
        </is>
      </c>
      <c r="E474" s="3" t="n">
        <v>66</v>
      </c>
      <c r="F474" s="5" t="inlineStr">
        <is>
          <t>Z2-Z3</t>
        </is>
      </c>
      <c r="G474" s="3" t="n">
        <v>5</v>
      </c>
      <c r="H474" s="6" t="inlineStr">
        <is>
          <t>Objectif : endurance aérobie active, allure progressive (70 → 80% FC max)
22' à 70-72% FC max (136-140 bpm)
22' à 74-77% (144-149 bpm)
22' à 78-80% (151-155 bpm)
(un seul bloc continu, la progression se fait à la FC)</t>
        </is>
      </c>
      <c r="I474" s="3" t="n">
        <v>11.5</v>
      </c>
      <c r="J474" s="3" t="n"/>
      <c r="K474" s="3" t="n"/>
    </row>
    <row r="475" ht="24" customHeight="1" s="159">
      <c r="A475" s="175" t="n">
        <v>46511</v>
      </c>
      <c r="B475" s="3" t="inlineStr">
        <is>
          <t>Mardi</t>
        </is>
      </c>
      <c r="C475" s="8" t="inlineStr">
        <is>
          <t>Vélo</t>
        </is>
      </c>
      <c r="D475" s="5" t="inlineStr">
        <is>
          <t>Vélo récupération Z1</t>
        </is>
      </c>
      <c r="E475" s="3" t="n">
        <v>60</v>
      </c>
      <c r="F475" s="5" t="inlineStr">
        <is>
          <t>Z2</t>
        </is>
      </c>
      <c r="G475" s="3" t="n">
        <v>2</v>
      </c>
      <c r="H475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475" s="3" t="n"/>
      <c r="J475" s="3" t="n">
        <v>28</v>
      </c>
      <c r="K475" s="3" t="n"/>
    </row>
    <row r="476" ht="60" customHeight="1" s="159">
      <c r="A476" s="175" t="n">
        <v>46512</v>
      </c>
      <c r="B476" s="3" t="inlineStr">
        <is>
          <t>Mercredi</t>
        </is>
      </c>
      <c r="C476" s="8" t="inlineStr">
        <is>
          <t>Vélo</t>
        </is>
      </c>
      <c r="D476" s="5" t="inlineStr">
        <is>
          <t>Vélo clé — 2x25' @ 90% FTP — r=5'</t>
        </is>
      </c>
      <c r="E476" s="3" t="n">
        <v>150</v>
      </c>
      <c r="F476" s="5" t="inlineStr">
        <is>
          <t>Z3</t>
        </is>
      </c>
      <c r="G476" s="3" t="n">
        <v>5</v>
      </c>
      <c r="H476" s="6">
        <f>"85' EF Z2 (127-140 bpm / "&amp;IF(FTP&gt;0,TEXT(ROUND(FTP*60/500,0)*5,"0"),"?")&amp;"-"&amp;IF(FTP&gt;0,TEXT(ROUND(FTP*70/500,0)*5,"0"),"?")&amp;" W"&amp;") | 2x25' @ 90% FTP ("&amp;IF(FTP&gt;0,TEXT(ROUND(FTP*90/500,0)*5,"0"),"?")&amp;" W"&amp;") — r=5'"&amp;CHAR(10)&amp;"Objectif : reprendre le développement du seuil (FTP)"&amp;CHAR(10)&amp;"FC bloc cible : ~163 bpm (84% FC max) | Cadence : 87-93 rpm | RPE 7-8/10"&amp;CHAR(10)&amp;"NUTRITION : 90g glucides/h si &gt;90'"&amp;CHAR(10)&amp;"10' RC (127-140 bpm / "&amp;IF(FTP&gt;0,TEXT(ROUND(FTP*60/500,0)*5,"0"),"?")&amp;"-"&amp;IF(FTP&gt;0,TEXT(ROUND(FTP*70/500,0)*5,"0"),"?")&amp;" W"&amp;")"</f>
        <v/>
      </c>
      <c r="I476" s="3" t="n"/>
      <c r="J476" s="3" t="n">
        <v>70</v>
      </c>
      <c r="K476" s="3" t="n"/>
    </row>
    <row r="477" ht="36" customHeight="1" s="159">
      <c r="A477" s="175" t="n">
        <v>46513</v>
      </c>
      <c r="B477" s="3" t="inlineStr">
        <is>
          <t>Jeudi</t>
        </is>
      </c>
      <c r="C477" s="7" t="inlineStr">
        <is>
          <t>Course</t>
        </is>
      </c>
      <c r="D477" s="5" t="inlineStr">
        <is>
          <t>EF Z2</t>
        </is>
      </c>
      <c r="E477" s="3" t="n">
        <v>92</v>
      </c>
      <c r="F477" s="5" t="inlineStr">
        <is>
          <t>Z2</t>
        </is>
      </c>
      <c r="G477" s="3" t="n">
        <v>4</v>
      </c>
      <c r="H477" s="6" t="inlineStr">
        <is>
          <t>92' EF Z2 (127-140 bpm)
Allure facile, cadence naturelle
Nutrition : gel à 45'</t>
        </is>
      </c>
      <c r="I477" s="3" t="n">
        <v>15</v>
      </c>
      <c r="J477" s="3" t="n"/>
      <c r="K477" s="3" t="n"/>
    </row>
    <row r="478" ht="60" customHeight="1" s="159">
      <c r="A478" s="175" t="n">
        <v>46513</v>
      </c>
      <c r="B478" s="3" t="inlineStr">
        <is>
          <t>Jeudi</t>
        </is>
      </c>
      <c r="C478" s="9" t="inlineStr">
        <is>
          <t>Natation</t>
        </is>
      </c>
      <c r="D478" s="5" t="inlineStr">
        <is>
          <t>Natation endurance</t>
        </is>
      </c>
      <c r="E478" s="3" t="n">
        <v>70</v>
      </c>
      <c r="F478" s="5" t="inlineStr">
        <is>
          <t>-</t>
        </is>
      </c>
      <c r="G478" s="3" t="n">
        <v>4</v>
      </c>
      <c r="H478" s="6" t="inlineStr">
        <is>
          <t>Échauffement : 200 m souple (110-126 bpm, 2:23/100 m)
Série principale : 8 x 300 m à allure soutenue (135-148 bpm, 2:06/100 m) — repos 20 s
Retour au calme : 200 m souple (110-126 bpm)
Consigne : allure constante sur chaque répétition ; sighting toutes les 6-8 cycles de bras
Total : 2800 m</t>
        </is>
      </c>
      <c r="I478" s="3" t="n"/>
      <c r="J478" s="3" t="n"/>
      <c r="K478" s="3" t="n">
        <v>2800</v>
      </c>
    </row>
    <row r="479" ht="24" customHeight="1" s="159">
      <c r="A479" s="175" t="n">
        <v>46514</v>
      </c>
      <c r="B479" s="3" t="inlineStr">
        <is>
          <t>Vendredi</t>
        </is>
      </c>
      <c r="C479" s="7" t="inlineStr">
        <is>
          <t>Course</t>
        </is>
      </c>
      <c r="D479" s="5" t="inlineStr">
        <is>
          <t>EF Z2 — court</t>
        </is>
      </c>
      <c r="E479" s="3" t="n">
        <v>47</v>
      </c>
      <c r="F479" s="5" t="inlineStr">
        <is>
          <t>Z1-Z2</t>
        </is>
      </c>
      <c r="G479" s="3" t="n">
        <v>2</v>
      </c>
      <c r="H479" s="6" t="inlineStr">
        <is>
          <t>47' EF Z1-Z2 (120-135 bpm) — COURT
Vraie récup — pas de strides</t>
        </is>
      </c>
      <c r="I479" s="3" t="n">
        <v>7</v>
      </c>
      <c r="J479" s="3" t="n"/>
      <c r="K479" s="3" t="n"/>
    </row>
    <row r="480" ht="60" customHeight="1" s="159">
      <c r="A480" s="175" t="n">
        <v>46514</v>
      </c>
      <c r="B480" s="3" t="inlineStr">
        <is>
          <t>Vendredi</t>
        </is>
      </c>
      <c r="C480" s="8" t="inlineStr">
        <is>
          <t>Vélo</t>
        </is>
      </c>
      <c r="D480" s="5" t="inlineStr">
        <is>
          <t>Force spécifique</t>
        </is>
      </c>
      <c r="E480" s="3" t="n">
        <v>122</v>
      </c>
      <c r="F480" s="5" t="inlineStr">
        <is>
          <t>Z2-Z3</t>
        </is>
      </c>
      <c r="G480" s="3" t="n">
        <v>5</v>
      </c>
      <c r="H480" s="6">
        <f>"87'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480" s="3" t="n"/>
      <c r="J480" s="3" t="n">
        <v>57</v>
      </c>
      <c r="K480" s="3" t="n"/>
    </row>
    <row r="481" ht="84" customHeight="1" s="159">
      <c r="A481" s="175" t="n">
        <v>46515</v>
      </c>
      <c r="B481" s="3" t="inlineStr">
        <is>
          <t>Samedi</t>
        </is>
      </c>
      <c r="C481" s="9" t="inlineStr">
        <is>
          <t>Natation</t>
        </is>
      </c>
      <c r="D481" s="5" t="inlineStr">
        <is>
          <t>Natation technique + bloc IM</t>
        </is>
      </c>
      <c r="E481" s="3" t="n">
        <v>102</v>
      </c>
      <c r="F481" s="5" t="inlineStr">
        <is>
          <t>-</t>
        </is>
      </c>
      <c r="G481" s="3" t="n">
        <v>5</v>
      </c>
      <c r="H481" s="6" t="inlineStr">
        <is>
          <t>Échauffement : 4 x 50 m facile (108-117 bpm) — repos 30 s
Éducatifs : 8 x 50 m (catch-up, finger drag, sighting) — repos 30 s
Bloc continu : 2300 m à allure IM, sans arrêt (135-148 bpm, 2:09/100 m) — sighting toutes les 6-8 cycles de bras
Pull buoy : 8 x 100 m (135-148 bpm, 2:06/100 m) — repos 30 s
Retour au calme : 200 m souple (110-126 bpm)
Total : 3900 m</t>
        </is>
      </c>
      <c r="I481" s="3" t="n"/>
      <c r="J481" s="3" t="n"/>
      <c r="K481" s="3" t="n">
        <v>3900</v>
      </c>
    </row>
    <row r="482" ht="36" customHeight="1" s="159">
      <c r="A482" s="175" t="n">
        <v>46515</v>
      </c>
      <c r="B482" s="3" t="inlineStr">
        <is>
          <t>Samedi</t>
        </is>
      </c>
      <c r="C482" s="7" t="inlineStr">
        <is>
          <t>Course</t>
        </is>
      </c>
      <c r="D482" s="5" t="inlineStr">
        <is>
          <t>SORTIE LONGUE Z2 — 142' (23 km)</t>
        </is>
      </c>
      <c r="E482" s="3" t="n">
        <v>142</v>
      </c>
      <c r="F482" s="5" t="inlineStr">
        <is>
          <t>Z2</t>
        </is>
      </c>
      <c r="G482" s="3" t="n">
        <v>6</v>
      </c>
      <c r="H482" s="6" t="inlineStr">
        <is>
          <t>142' Z2 (127-140 bpm) — allure conversationnelle
Cadence régulière
Gel à 45' et 90'</t>
        </is>
      </c>
      <c r="I482" s="3" t="n">
        <v>23</v>
      </c>
      <c r="J482" s="3" t="n"/>
      <c r="K482" s="3" t="n"/>
    </row>
    <row r="483" ht="48" customHeight="1" s="159">
      <c r="A483" s="175" t="n">
        <v>46516</v>
      </c>
      <c r="B483" s="3" t="inlineStr">
        <is>
          <t>Dimanche</t>
        </is>
      </c>
      <c r="C483" s="8" t="inlineStr">
        <is>
          <t>Vélo</t>
        </is>
      </c>
      <c r="D483" s="5" t="inlineStr">
        <is>
          <t>Sortie longue — 321' (150.0 km) — 2x30' allure IM</t>
        </is>
      </c>
      <c r="E483" s="3" t="n">
        <v>321</v>
      </c>
      <c r="F483" s="5" t="inlineStr">
        <is>
          <t>Z2-Z3</t>
        </is>
      </c>
      <c r="G483" s="3" t="n">
        <v>6</v>
      </c>
      <c r="H483" s="6">
        <f>"321' Z2 (127-140 bpm / "&amp;IF(FTP&gt;0,TEXT(ROUND(FTP*60/500,0)*5,"0"),"?")&amp;"-"&amp;IF(FTP&gt;0,TEXT(ROUND(FTP*70/500,0)*5,"0"),"?")&amp;" W"&amp;") dont 2x30' allure IM (136-146 bpm / "&amp;IF(FTP&gt;0,TEXT(ROUND(FTP*70/500,0)*5,"0"),"?")&amp;"-"&amp;IF(FTP&gt;0,TEXT(ROUND(FTP*75/500,0)*5,"0"),"?")&amp;" W"&amp;") dans la seconde moitié — r=10' Z2"&amp;CHAR(10)&amp;"Cadence 85-92 rpm"&amp;CHAR(10)&amp;"NUTRITION : 90g glucides/h si &gt;60'"</f>
        <v/>
      </c>
      <c r="I483" s="3" t="n"/>
      <c r="J483" s="3" t="n">
        <v>150</v>
      </c>
      <c r="K483" s="3" t="n"/>
    </row>
    <row r="484" ht="24" customHeight="1" s="159">
      <c r="A484" s="175" t="n">
        <v>46516</v>
      </c>
      <c r="B484" s="3" t="inlineStr">
        <is>
          <t>Dimanche</t>
        </is>
      </c>
      <c r="C484" s="7" t="inlineStr">
        <is>
          <t>Course</t>
        </is>
      </c>
      <c r="D484" s="5" t="inlineStr">
        <is>
          <t>CAP en Brick — 25'</t>
        </is>
      </c>
      <c r="E484" s="3" t="n">
        <v>25</v>
      </c>
      <c r="F484" s="5" t="inlineStr">
        <is>
          <t>Z2-Z3</t>
        </is>
      </c>
      <c r="G484" s="3" t="n">
        <v>4</v>
      </c>
      <c r="H484" s="6" t="inlineStr">
        <is>
          <t>Transition directe après vélo — 25' @ Z2-Z3 (127-155 bpm)
Adaptation transition vélo→CAP</t>
        </is>
      </c>
      <c r="I484" s="3" t="n">
        <v>4.5</v>
      </c>
      <c r="J484" s="3" t="n"/>
      <c r="K484" s="3" t="n"/>
    </row>
    <row r="485" ht="60" customHeight="1" s="159">
      <c r="A485" s="175" t="n">
        <v>46516</v>
      </c>
      <c r="B485" s="3" t="inlineStr">
        <is>
          <t>Dimanche</t>
        </is>
      </c>
      <c r="C485" s="9" t="inlineStr">
        <is>
          <t>Natation</t>
        </is>
      </c>
      <c r="D485" s="5" t="inlineStr">
        <is>
          <t>Natation récupération</t>
        </is>
      </c>
      <c r="E485" s="3" t="n">
        <v>78</v>
      </c>
      <c r="F485" s="5" t="inlineStr">
        <is>
          <t>-</t>
        </is>
      </c>
      <c r="G485" s="3" t="n">
        <v>2</v>
      </c>
      <c r="H485" s="6" t="inlineStr">
        <is>
          <t>Échauffement : 200 m souple (110-126 bpm)
Série : 24 x 100 m technique, nage relâchée (110-120 bpm) — repos 30 s + 50 m souple
Retour au calme : 50 m souple
Consigne : séance de récupération : relâchement, amplitude, aucune recherche de vitesse
Total : 2700 m</t>
        </is>
      </c>
      <c r="I485" s="3" t="n"/>
      <c r="J485" s="3" t="n"/>
      <c r="K485" s="3" t="n">
        <v>2700</v>
      </c>
    </row>
    <row r="486" ht="15" customHeight="1" s="159">
      <c r="A486" s="10" t="n"/>
      <c r="B486" s="10" t="n"/>
      <c r="C486" s="10" t="n"/>
      <c r="D486" s="10" t="n"/>
      <c r="E486" s="10" t="n"/>
      <c r="F486" s="10" t="n"/>
      <c r="G486" s="10" t="n"/>
      <c r="H486" s="11" t="inlineStr">
        <is>
          <t>TOTAL SEMAINE</t>
        </is>
      </c>
      <c r="I486" s="10">
        <f>SUM(I473:I485)</f>
        <v/>
      </c>
      <c r="J486" s="10">
        <f>SUM(J473:J485)</f>
        <v/>
      </c>
      <c r="K486" s="10">
        <f>SUM(K473:K485)</f>
        <v/>
      </c>
    </row>
    <row r="487" ht="24" customHeight="1" s="159">
      <c r="A487" s="176" t="inlineStr">
        <is>
          <t xml:space="preserve">  S37 — 10/05/2027 → 16/05/2027   |     Phase 4 — Spécifique IM (reprise 2)</t>
        </is>
      </c>
      <c r="B487" s="177" t="n"/>
      <c r="C487" s="177" t="n"/>
      <c r="D487" s="177" t="n"/>
      <c r="E487" s="177" t="n"/>
      <c r="F487" s="177" t="n"/>
      <c r="G487" s="177" t="n"/>
      <c r="H487" s="177" t="n"/>
      <c r="I487" s="177" t="n"/>
      <c r="J487" s="177" t="n"/>
      <c r="K487" s="178" t="n"/>
    </row>
    <row r="488" ht="36" customHeight="1" s="159">
      <c r="A488" s="175" t="n">
        <v>46517</v>
      </c>
      <c r="B488" s="3" t="inlineStr">
        <is>
          <t>Lundi</t>
        </is>
      </c>
      <c r="C488" s="15" t="inlineStr">
        <is>
          <t>Repos</t>
        </is>
      </c>
      <c r="D488" s="5" t="inlineStr">
        <is>
          <t>OFF</t>
        </is>
      </c>
      <c r="E488" s="3" t="inlineStr">
        <is>
          <t>-</t>
        </is>
      </c>
      <c r="F488" s="5" t="inlineStr">
        <is>
          <t>-</t>
        </is>
      </c>
      <c r="G488" s="3" t="n">
        <v>1</v>
      </c>
      <c r="H488" s="6" t="inlineStr">
        <is>
          <t>Repos complet</t>
        </is>
      </c>
      <c r="I488" s="3" t="n"/>
      <c r="J488" s="3" t="n"/>
      <c r="K488" s="3" t="n"/>
    </row>
    <row r="489" ht="96" customHeight="1" s="159">
      <c r="A489" s="175" t="n">
        <v>46518</v>
      </c>
      <c r="B489" s="3" t="inlineStr">
        <is>
          <t>Mardi</t>
        </is>
      </c>
      <c r="C489" s="7" t="inlineStr">
        <is>
          <t>Course</t>
        </is>
      </c>
      <c r="D489" s="5" t="inlineStr">
        <is>
          <t>Qualité — 3x(9' + 5') @ 83/87%</t>
        </is>
      </c>
      <c r="E489" s="3" t="n">
        <v>82</v>
      </c>
      <c r="F489" s="5" t="inlineStr">
        <is>
          <t>Z3-Z4</t>
        </is>
      </c>
      <c r="G489" s="3" t="n">
        <v>7</v>
      </c>
      <c r="H489" s="6" t="inlineStr">
        <is>
          <t>Objectif : seuil, allure marathon vers semi
17' EF Z2 (127-140 bpm)
3 x [9' à 83% FC max (161 bpm) — 1'30 de repos — 5' à 87% (169 bpm)]
3'30 de repos entre séries
11' EF Z2 (127-140 bpm)</t>
        </is>
      </c>
      <c r="I489" s="3" t="n">
        <v>14</v>
      </c>
      <c r="J489" s="3" t="n"/>
      <c r="K489" s="3" t="n"/>
    </row>
    <row r="490" ht="24" customHeight="1" s="159">
      <c r="A490" s="175" t="n">
        <v>46518</v>
      </c>
      <c r="B490" s="3" t="inlineStr">
        <is>
          <t>Mardi</t>
        </is>
      </c>
      <c r="C490" s="8" t="inlineStr">
        <is>
          <t>Vélo</t>
        </is>
      </c>
      <c r="D490" s="5" t="inlineStr">
        <is>
          <t>Vélo récupération Z1</t>
        </is>
      </c>
      <c r="E490" s="3" t="n">
        <v>60</v>
      </c>
      <c r="F490" s="5" t="inlineStr">
        <is>
          <t>Z2</t>
        </is>
      </c>
      <c r="G490" s="3" t="n">
        <v>2</v>
      </c>
      <c r="H490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490" s="3" t="n"/>
      <c r="J490" s="3" t="n">
        <v>28</v>
      </c>
      <c r="K490" s="3" t="n"/>
    </row>
    <row r="491" ht="72" customHeight="1" s="159">
      <c r="A491" s="175" t="n">
        <v>46519</v>
      </c>
      <c r="B491" s="3" t="inlineStr">
        <is>
          <t>Mercredi</t>
        </is>
      </c>
      <c r="C491" s="8" t="inlineStr">
        <is>
          <t>Vélo</t>
        </is>
      </c>
      <c r="D491" s="5" t="inlineStr">
        <is>
          <t>Vélo clé — Bloc allure IM 2x35' (136-146 bpm) — r=5'</t>
        </is>
      </c>
      <c r="E491" s="3" t="n">
        <v>154</v>
      </c>
      <c r="F491" s="5" t="inlineStr">
        <is>
          <t>Z2-Z3</t>
        </is>
      </c>
      <c r="G491" s="3" t="n">
        <v>6</v>
      </c>
      <c r="H491" s="6">
        <f>"69' EF Z2 (127-140 bpm / "&amp;IF(FTP&gt;0,TEXT(ROUND(FTP*60/500,0)*5,"0"),"?")&amp;"-"&amp;IF(FTP&gt;0,TEXT(ROUND(FTP*70/500,0)*5,"0"),"?")&amp;" W"&amp;") | 2x35' allure IM (136-146 bpm, 70-75% FC max / "&amp;IF(FTP&gt;0,TEXT(ROUND(FTP*70/500,0)*5,"0"),"?")&amp;"-"&amp;IF(FTP&gt;0,TEXT(ROUND(FTP*75/500,0)*5,"0"),"?")&amp;" W"&amp;") — r=5'"&amp;CHAR(10)&amp;"Objectif : spécificité Ironman : rouler à l'effort de course et répéter le ravitaillement"&amp;CHAR(10)&amp;"FC bloc cible : 136-146 bpm (70-75% FC max) | Cadence : 85-92 rpm | RPE 5-6/10"&amp;CHAR(10)&amp;"NUTRITION : 90g glucides/h si &gt;90'"&amp;CHAR(10)&amp;"10' RC (127-140 bpm / "&amp;IF(FTP&gt;0,TEXT(ROUND(FTP*60/500,0)*5,"0"),"?")&amp;"-"&amp;IF(FTP&gt;0,TEXT(ROUND(FTP*70/500,0)*5,"0"),"?")&amp;" W"&amp;")"</f>
        <v/>
      </c>
      <c r="I491" s="3" t="n"/>
      <c r="J491" s="3" t="n">
        <v>72</v>
      </c>
      <c r="K491" s="3" t="n"/>
    </row>
    <row r="492" ht="24" customHeight="1" s="159">
      <c r="A492" s="175" t="n">
        <v>46520</v>
      </c>
      <c r="B492" s="3" t="inlineStr">
        <is>
          <t>Jeudi</t>
        </is>
      </c>
      <c r="C492" s="7" t="inlineStr">
        <is>
          <t>Course</t>
        </is>
      </c>
      <c r="D492" s="5" t="inlineStr">
        <is>
          <t>EF Z2</t>
        </is>
      </c>
      <c r="E492" s="3" t="n">
        <v>86</v>
      </c>
      <c r="F492" s="5" t="inlineStr">
        <is>
          <t>Z2</t>
        </is>
      </c>
      <c r="G492" s="3" t="n">
        <v>4</v>
      </c>
      <c r="H492" s="6" t="inlineStr">
        <is>
          <t>86' EF Z2 (127-140 bpm)
Allure facile, cadence naturelle</t>
        </is>
      </c>
      <c r="I492" s="3" t="n">
        <v>14</v>
      </c>
      <c r="J492" s="3" t="n"/>
      <c r="K492" s="3" t="n"/>
    </row>
    <row r="493" ht="72" customHeight="1" s="159">
      <c r="A493" s="175" t="n">
        <v>46520</v>
      </c>
      <c r="B493" s="3" t="inlineStr">
        <is>
          <t>Jeudi</t>
        </is>
      </c>
      <c r="C493" s="9" t="inlineStr">
        <is>
          <t>Natation</t>
        </is>
      </c>
      <c r="D493" s="5" t="inlineStr">
        <is>
          <t>Natation endurance</t>
        </is>
      </c>
      <c r="E493" s="3" t="n">
        <v>74</v>
      </c>
      <c r="F493" s="5" t="inlineStr">
        <is>
          <t>-</t>
        </is>
      </c>
      <c r="G493" s="3" t="n">
        <v>4</v>
      </c>
      <c r="H493" s="6" t="inlineStr">
        <is>
          <t>Échauffement : 200 m souple (110-126 bpm, 2:23/100 m)
Série principale : 8 x 300 m à allure soutenue (135-148 bpm, 2:06/100 m) — repos 20 s + 200 m à la suite, même allure
Retour au calme : 200 m souple (110-126 bpm)
Consigne : allure constante sur chaque répétition ; sighting toutes les 6-8 cycles de bras
Total : 3000 m</t>
        </is>
      </c>
      <c r="I493" s="3" t="n"/>
      <c r="J493" s="3" t="n"/>
      <c r="K493" s="3" t="n">
        <v>3000</v>
      </c>
    </row>
    <row r="494" ht="24" customHeight="1" s="159">
      <c r="A494" s="175" t="n">
        <v>46521</v>
      </c>
      <c r="B494" s="3" t="inlineStr">
        <is>
          <t>Vendredi</t>
        </is>
      </c>
      <c r="C494" s="7" t="inlineStr">
        <is>
          <t>Course</t>
        </is>
      </c>
      <c r="D494" s="5" t="inlineStr">
        <is>
          <t>EF Z2 — court</t>
        </is>
      </c>
      <c r="E494" s="3" t="n">
        <v>43</v>
      </c>
      <c r="F494" s="5" t="inlineStr">
        <is>
          <t>Z1-Z2</t>
        </is>
      </c>
      <c r="G494" s="3" t="n">
        <v>2</v>
      </c>
      <c r="H494" s="6" t="inlineStr">
        <is>
          <t>43' EF Z1-Z2 (120-135 bpm) — COURT
Vraie récup — pas de strides</t>
        </is>
      </c>
      <c r="I494" s="3" t="n">
        <v>6.5</v>
      </c>
      <c r="J494" s="3" t="n"/>
      <c r="K494" s="3" t="n"/>
    </row>
    <row r="495" ht="60" customHeight="1" s="159">
      <c r="A495" s="175" t="n">
        <v>46521</v>
      </c>
      <c r="B495" s="3" t="inlineStr">
        <is>
          <t>Vendredi</t>
        </is>
      </c>
      <c r="C495" s="8" t="inlineStr">
        <is>
          <t>Vélo</t>
        </is>
      </c>
      <c r="D495" s="5" t="inlineStr">
        <is>
          <t>Force spécifique</t>
        </is>
      </c>
      <c r="E495" s="3" t="n">
        <v>129</v>
      </c>
      <c r="F495" s="5" t="inlineStr">
        <is>
          <t>Z2-Z3</t>
        </is>
      </c>
      <c r="G495" s="3" t="n">
        <v>5</v>
      </c>
      <c r="H495" s="6">
        <f>"74' EF (127-140 bpm / "&amp;IF(FTP&gt;0,TEXT(ROUND(FTP*60/500,0)*5,"0"),"?")&amp;"-"&amp;IF(FTP&gt;0,TEXT(ROUND(FTP*70/500,0)*5,"0"),"?")&amp;" W"&amp;") | 6x5'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495" s="3" t="n"/>
      <c r="J495" s="3" t="n">
        <v>60</v>
      </c>
      <c r="K495" s="3" t="n"/>
    </row>
    <row r="496" ht="84" customHeight="1" s="159">
      <c r="A496" s="175" t="n">
        <v>46522</v>
      </c>
      <c r="B496" s="3" t="inlineStr">
        <is>
          <t>Samedi</t>
        </is>
      </c>
      <c r="C496" s="9" t="inlineStr">
        <is>
          <t>Natation</t>
        </is>
      </c>
      <c r="D496" s="5" t="inlineStr">
        <is>
          <t>Natation technique + bloc IM</t>
        </is>
      </c>
      <c r="E496" s="3" t="n">
        <v>109</v>
      </c>
      <c r="F496" s="5" t="inlineStr">
        <is>
          <t>-</t>
        </is>
      </c>
      <c r="G496" s="3" t="n">
        <v>5</v>
      </c>
      <c r="H496" s="6" t="inlineStr">
        <is>
          <t>Échauffement : 4 x 50 m facile (108-117 bpm) — repos 30 s
Éducatifs : 8 x 50 m (catch-up, finger drag, sighting) — repos 30 s
Bloc continu : 2500 m à allure IM, sans arrêt (135-148 bpm, 2:09/100 m) — sighting toutes les 6-8 cycles de bras
Pull buoy : 9 x 100 m (135-148 bpm, 2:06/100 m) — repos 30 s
Retour au calme : 200 m souple (110-126 bpm)
Total : 4200 m</t>
        </is>
      </c>
      <c r="I496" s="3" t="n"/>
      <c r="J496" s="3" t="n"/>
      <c r="K496" s="3" t="n">
        <v>4200</v>
      </c>
    </row>
    <row r="497" ht="48" customHeight="1" s="159">
      <c r="A497" s="175" t="n">
        <v>46522</v>
      </c>
      <c r="B497" s="3" t="inlineStr">
        <is>
          <t>Samedi</t>
        </is>
      </c>
      <c r="C497" s="7" t="inlineStr">
        <is>
          <t>Course</t>
        </is>
      </c>
      <c r="D497" s="5" t="inlineStr">
        <is>
          <t>SORTIE LONGUE Z2 + fin allure IM — 160' (26 km)</t>
        </is>
      </c>
      <c r="E497" s="3" t="n">
        <v>160</v>
      </c>
      <c r="F497" s="5" t="inlineStr">
        <is>
          <t>Z2-Z3</t>
        </is>
      </c>
      <c r="G497" s="3" t="n">
        <v>7</v>
      </c>
      <c r="H497" s="6" t="inlineStr">
        <is>
          <t>130' Z2 (127-140 bpm) | 25' allure IM (150-155 bpm) | 5' Z2 retour au calme
Bloc allure IM dans le dernier tiers, jambes fatiguées : c'est la fatigue qui fait le travail, pas la vitesse
Gel à 45', 90' et 135'</t>
        </is>
      </c>
      <c r="I497" s="3" t="n">
        <v>26</v>
      </c>
      <c r="J497" s="3" t="n"/>
      <c r="K497" s="3" t="n"/>
    </row>
    <row r="498" ht="48" customHeight="1" s="159">
      <c r="A498" s="175" t="n">
        <v>46523</v>
      </c>
      <c r="B498" s="3" t="inlineStr">
        <is>
          <t>Dimanche</t>
        </is>
      </c>
      <c r="C498" s="8" t="inlineStr">
        <is>
          <t>Vélo</t>
        </is>
      </c>
      <c r="D498" s="5" t="inlineStr">
        <is>
          <t>Sortie longue — 343' (160.0 km) — 3x30' allure IM</t>
        </is>
      </c>
      <c r="E498" s="3" t="n">
        <v>343</v>
      </c>
      <c r="F498" s="5" t="inlineStr">
        <is>
          <t>Z2-Z3</t>
        </is>
      </c>
      <c r="G498" s="3" t="n">
        <v>6</v>
      </c>
      <c r="H498" s="6">
        <f>"343' Z2 (127-140 bpm / "&amp;IF(FTP&gt;0,TEXT(ROUND(FTP*60/500,0)*5,"0"),"?")&amp;"-"&amp;IF(FTP&gt;0,TEXT(ROUND(FTP*70/500,0)*5,"0"),"?")&amp;" W"&amp;") dont 3x30' allure IM (136-146 bpm / "&amp;IF(FTP&gt;0,TEXT(ROUND(FTP*70/500,0)*5,"0"),"?")&amp;"-"&amp;IF(FTP&gt;0,TEXT(ROUND(FTP*75/500,0)*5,"0"),"?")&amp;" W"&amp;") dans la seconde moitié — r=10' Z2"&amp;CHAR(10)&amp;"Cadence 85-92 rpm"&amp;CHAR(10)&amp;"NUTRITION : 90g glucides/h si &gt;60'"</f>
        <v/>
      </c>
      <c r="I498" s="3" t="n"/>
      <c r="J498" s="3" t="n">
        <v>160</v>
      </c>
      <c r="K498" s="3" t="n"/>
    </row>
    <row r="499" ht="24" customHeight="1" s="159">
      <c r="A499" s="175" t="n">
        <v>46523</v>
      </c>
      <c r="B499" s="3" t="inlineStr">
        <is>
          <t>Dimanche</t>
        </is>
      </c>
      <c r="C499" s="7" t="inlineStr">
        <is>
          <t>Course</t>
        </is>
      </c>
      <c r="D499" s="5" t="inlineStr">
        <is>
          <t>CAP en Brick — 25'</t>
        </is>
      </c>
      <c r="E499" s="3" t="n">
        <v>25</v>
      </c>
      <c r="F499" s="5" t="inlineStr">
        <is>
          <t>Z2-Z3</t>
        </is>
      </c>
      <c r="G499" s="3" t="n">
        <v>4</v>
      </c>
      <c r="H499" s="6" t="inlineStr">
        <is>
          <t>Transition directe après vélo — 25' @ Z2-Z3 (127-155 bpm)
Adaptation transition vélo→CAP</t>
        </is>
      </c>
      <c r="I499" s="3" t="n">
        <v>4.5</v>
      </c>
      <c r="J499" s="3" t="n"/>
      <c r="K499" s="3" t="n"/>
    </row>
    <row r="500" ht="60" customHeight="1" s="159">
      <c r="A500" s="175" t="n">
        <v>46523</v>
      </c>
      <c r="B500" s="3" t="inlineStr">
        <is>
          <t>Dimanche</t>
        </is>
      </c>
      <c r="C500" s="9" t="inlineStr">
        <is>
          <t>Natation</t>
        </is>
      </c>
      <c r="D500" s="5" t="inlineStr">
        <is>
          <t>Natation récupération</t>
        </is>
      </c>
      <c r="E500" s="3" t="n">
        <v>75</v>
      </c>
      <c r="F500" s="5" t="inlineStr">
        <is>
          <t>-</t>
        </is>
      </c>
      <c r="G500" s="3" t="n">
        <v>2</v>
      </c>
      <c r="H500" s="6" t="inlineStr">
        <is>
          <t>Échauffement : 200 m souple (110-126 bpm)
Série : 23 x 100 m technique, nage relâchée (110-120 bpm) — repos 30 s + 50 m souple
Retour au calme : 50 m souple
Consigne : séance de récupération : relâchement, amplitude, aucune recherche de vitesse
Total : 2600 m</t>
        </is>
      </c>
      <c r="I500" s="3" t="n"/>
      <c r="J500" s="3" t="n"/>
      <c r="K500" s="3" t="n">
        <v>2600</v>
      </c>
    </row>
    <row r="501" ht="15" customHeight="1" s="159">
      <c r="A501" s="10" t="n"/>
      <c r="B501" s="10" t="n"/>
      <c r="C501" s="10" t="n"/>
      <c r="D501" s="10" t="n"/>
      <c r="E501" s="10" t="n"/>
      <c r="F501" s="10" t="n"/>
      <c r="G501" s="10" t="n"/>
      <c r="H501" s="11" t="inlineStr">
        <is>
          <t>TOTAL SEMAINE</t>
        </is>
      </c>
      <c r="I501" s="10">
        <f>SUM(I488:I500)</f>
        <v/>
      </c>
      <c r="J501" s="10">
        <f>SUM(J488:J500)</f>
        <v/>
      </c>
      <c r="K501" s="10">
        <f>SUM(K488:K500)</f>
        <v/>
      </c>
    </row>
    <row r="502" ht="15" customHeight="1" s="159">
      <c r="A502" s="179" t="inlineStr">
        <is>
          <t xml:space="preserve">  S38 — 17/05/2027 → 23/05/2027   |     Phase 4 — Spécifique IM (Deload + Grand Brick)</t>
        </is>
      </c>
      <c r="B502" s="177" t="n"/>
      <c r="C502" s="177" t="n"/>
      <c r="D502" s="177" t="n"/>
      <c r="E502" s="177" t="n"/>
      <c r="F502" s="177" t="n"/>
      <c r="G502" s="177" t="n"/>
      <c r="H502" s="177" t="n"/>
      <c r="I502" s="177" t="n"/>
      <c r="J502" s="177" t="n"/>
      <c r="K502" s="178" t="n"/>
    </row>
    <row r="503" ht="15" customHeight="1" s="159">
      <c r="A503" s="175" t="n">
        <v>46524</v>
      </c>
      <c r="B503" s="13" t="inlineStr">
        <is>
          <t>Lundi</t>
        </is>
      </c>
      <c r="C503" s="15" t="inlineStr">
        <is>
          <t>Repos</t>
        </is>
      </c>
      <c r="D503" s="13" t="inlineStr">
        <is>
          <t>OFF</t>
        </is>
      </c>
      <c r="E503" s="13" t="inlineStr">
        <is>
          <t>-</t>
        </is>
      </c>
      <c r="F503" s="13" t="inlineStr">
        <is>
          <t>-</t>
        </is>
      </c>
      <c r="G503" s="13" t="n">
        <v>1</v>
      </c>
      <c r="H503" s="13" t="inlineStr">
        <is>
          <t>Repos complet</t>
        </is>
      </c>
      <c r="I503" s="13" t="n"/>
      <c r="J503" s="13" t="n"/>
      <c r="K503" s="13" t="n"/>
    </row>
    <row r="504" ht="120" customHeight="1" s="159">
      <c r="A504" s="175" t="n">
        <v>46525</v>
      </c>
      <c r="B504" s="3" t="inlineStr">
        <is>
          <t>Mardi</t>
        </is>
      </c>
      <c r="C504" s="7" t="inlineStr">
        <is>
          <t>Course</t>
        </is>
      </c>
      <c r="D504" s="5" t="inlineStr">
        <is>
          <t>Qualité — 2x(9' + 5') @ 83/87% — décharge</t>
        </is>
      </c>
      <c r="E504" s="3" t="n">
        <v>64</v>
      </c>
      <c r="F504" s="5" t="inlineStr">
        <is>
          <t>Z3-Z4</t>
        </is>
      </c>
      <c r="G504" s="3" t="n">
        <v>7</v>
      </c>
      <c r="H504" s="6" t="inlineStr">
        <is>
          <t>Objectif : seuil, allure marathon vers semi
17' EF Z2 (127-140 bpm)
2 x [9' à 83% FC max (161 bpm) — 1'30 de repos — 5' à 87% (169 bpm)]
3'30 de repos entre séries
12' EF Z2 (127-140 bpm)
Décharge : même type de séance que le bloc précédent, volume de qualité réduit</t>
        </is>
      </c>
      <c r="I504" s="3" t="n">
        <v>11</v>
      </c>
      <c r="J504" s="3" t="n"/>
      <c r="K504" s="3" t="n"/>
    </row>
    <row r="505" ht="24" customHeight="1" s="159">
      <c r="A505" s="175" t="n">
        <v>46525</v>
      </c>
      <c r="B505" s="3" t="inlineStr">
        <is>
          <t>Mardi</t>
        </is>
      </c>
      <c r="C505" s="8" t="inlineStr">
        <is>
          <t>Vélo</t>
        </is>
      </c>
      <c r="D505" s="5" t="inlineStr">
        <is>
          <t>Vélo récupération Z1</t>
        </is>
      </c>
      <c r="E505" s="3" t="n">
        <v>43</v>
      </c>
      <c r="F505" s="5" t="inlineStr">
        <is>
          <t>Z2</t>
        </is>
      </c>
      <c r="G505" s="3" t="n">
        <v>2</v>
      </c>
      <c r="H505" s="6">
        <f>"43' Z1 très facile (&lt; 127 bpm / "&amp;IF(FTP&gt;0,TEXT(ROUND(FTP*50/500,0)*5,"0"),"?")&amp;"-"&amp;IF(FTP&gt;0,TEXT(ROUND(FTP*55/500,0)*5,"0"),"?")&amp;" W"&amp;") — récupération active"&amp;CHAR(10)&amp;"Cadence souple 85-90 rpm"</f>
        <v/>
      </c>
      <c r="I505" s="3" t="n"/>
      <c r="J505" s="3" t="n">
        <v>20</v>
      </c>
      <c r="K505" s="3" t="n"/>
    </row>
    <row r="506" ht="60" customHeight="1" s="159">
      <c r="A506" s="175" t="n">
        <v>46526</v>
      </c>
      <c r="B506" s="3" t="inlineStr">
        <is>
          <t>Mercredi</t>
        </is>
      </c>
      <c r="C506" s="8" t="inlineStr">
        <is>
          <t>Vélo</t>
        </is>
      </c>
      <c r="D506" s="5" t="inlineStr">
        <is>
          <t>Vélo clé — 2x22' @ 88% FTP — r=5'</t>
        </is>
      </c>
      <c r="E506" s="3" t="n">
        <v>92</v>
      </c>
      <c r="F506" s="5" t="inlineStr">
        <is>
          <t>Z3</t>
        </is>
      </c>
      <c r="G506" s="3" t="n">
        <v>5</v>
      </c>
      <c r="H506" s="6">
        <f>"33' EF Z2 (127-140 bpm / "&amp;IF(FTP&gt;0,TEXT(ROUND(FTP*60/500,0)*5,"0"),"?")&amp;"-"&amp;IF(FTP&gt;0,TEXT(ROUND(FTP*70/500,0)*5,"0"),"?")&amp;" W"&amp;") | 2x22' @ 88% FTP ("&amp;IF(FTP&gt;0,TEXT(ROUND(FTP*88/500,0)*5,"0"),"?")&amp;" W"&amp;") — r=5'"&amp;CHAR(10)&amp;"Objectif : développer la puissance au seuil (FTP)"&amp;CHAR(10)&amp;"FC bloc cible : ~159 bpm (82% FC max) | Cadence : 87-93 rpm | RPE 7-8/10"&amp;CHAR(10)&amp;"NUTRITION : 90g glucides/h si &gt;90'"&amp;CHAR(10)&amp;"10' RC (127-140 bpm / "&amp;IF(FTP&gt;0,TEXT(ROUND(FTP*60/500,0)*5,"0"),"?")&amp;"-"&amp;IF(FTP&gt;0,TEXT(ROUND(FTP*70/500,0)*5,"0"),"?")&amp;" W"&amp;")"</f>
        <v/>
      </c>
      <c r="I506" s="3" t="n"/>
      <c r="J506" s="3" t="n">
        <v>43</v>
      </c>
      <c r="K506" s="3" t="n"/>
    </row>
    <row r="507" ht="24" customHeight="1" s="159">
      <c r="A507" s="175" t="n">
        <v>46527</v>
      </c>
      <c r="B507" s="3" t="inlineStr">
        <is>
          <t>Jeudi</t>
        </is>
      </c>
      <c r="C507" s="7" t="inlineStr">
        <is>
          <t>Course</t>
        </is>
      </c>
      <c r="D507" s="5" t="inlineStr">
        <is>
          <t>EF + strides</t>
        </is>
      </c>
      <c r="E507" s="3" t="n">
        <v>52</v>
      </c>
      <c r="F507" s="5" t="inlineStr">
        <is>
          <t>Z1-Z2</t>
        </is>
      </c>
      <c r="G507" s="3" t="n">
        <v>2</v>
      </c>
      <c r="H507" s="6" t="inlineStr">
        <is>
          <t>52' EF Z2 (127-140 bpm) | 4x20'' strides
Jamais &gt; Z2</t>
        </is>
      </c>
      <c r="I507" s="3" t="n">
        <v>8.5</v>
      </c>
      <c r="J507" s="3" t="n"/>
      <c r="K507" s="3" t="n"/>
    </row>
    <row r="508" ht="72" customHeight="1" s="159">
      <c r="A508" s="175" t="n">
        <v>46527</v>
      </c>
      <c r="B508" s="3" t="inlineStr">
        <is>
          <t>Jeudi</t>
        </is>
      </c>
      <c r="C508" s="9" t="inlineStr">
        <is>
          <t>Natation</t>
        </is>
      </c>
      <c r="D508" s="5" t="inlineStr">
        <is>
          <t>Natation endurance</t>
        </is>
      </c>
      <c r="E508" s="3" t="n">
        <v>48</v>
      </c>
      <c r="F508" s="5" t="inlineStr">
        <is>
          <t>-</t>
        </is>
      </c>
      <c r="G508" s="3" t="n">
        <v>4</v>
      </c>
      <c r="H508" s="6" t="inlineStr">
        <is>
          <t>Échauffement : 200 m souple (110-126 bpm, 2:23/100 m)
Série principale : 4 x 300 m à allure soutenue (135-148 bpm, 2:06/100 m) — repos 20 s + 200 m à la suite, même allure
Retour au calme : 200 m souple (110-126 bpm)
Consigne : allure constante sur chaque répétition ; sighting toutes les 6-8 cycles de bras
Total : 1800 m</t>
        </is>
      </c>
      <c r="I508" s="3" t="n"/>
      <c r="J508" s="3" t="n"/>
      <c r="K508" s="3" t="n">
        <v>1800</v>
      </c>
    </row>
    <row r="509" ht="24" customHeight="1" s="159">
      <c r="A509" s="175" t="n">
        <v>46528</v>
      </c>
      <c r="B509" s="3" t="inlineStr">
        <is>
          <t>Vendredi</t>
        </is>
      </c>
      <c r="C509" s="7" t="inlineStr">
        <is>
          <t>Course</t>
        </is>
      </c>
      <c r="D509" s="5" t="inlineStr">
        <is>
          <t>EF Z2 — court</t>
        </is>
      </c>
      <c r="E509" s="3" t="n">
        <v>27</v>
      </c>
      <c r="F509" s="5" t="inlineStr">
        <is>
          <t>Z1-Z2</t>
        </is>
      </c>
      <c r="G509" s="3" t="n">
        <v>2</v>
      </c>
      <c r="H509" s="6" t="inlineStr">
        <is>
          <t>27' EF Z1-Z2 (120-135 bpm) — COURT
Vraie récup — pas de strides</t>
        </is>
      </c>
      <c r="I509" s="3" t="n">
        <v>4</v>
      </c>
      <c r="J509" s="3" t="n"/>
      <c r="K509" s="3" t="n"/>
    </row>
    <row r="510" ht="48" customHeight="1" s="159">
      <c r="A510" s="175" t="n">
        <v>46528</v>
      </c>
      <c r="B510" s="3" t="inlineStr">
        <is>
          <t>Vendredi</t>
        </is>
      </c>
      <c r="C510" s="8" t="inlineStr">
        <is>
          <t>Vélo</t>
        </is>
      </c>
      <c r="D510" s="5" t="inlineStr">
        <is>
          <t>Force légère</t>
        </is>
      </c>
      <c r="E510" s="3" t="n">
        <v>77</v>
      </c>
      <c r="F510" s="5" t="inlineStr">
        <is>
          <t>Z2-Z3</t>
        </is>
      </c>
      <c r="G510" s="3" t="n">
        <v>3</v>
      </c>
      <c r="H510" s="6">
        <f>"42' EF (127-140 bpm / "&amp;IF(FTP&gt;0,TEXT(ROUND(FTP*60/500,0)*5,"0"),"?")&amp;"-"&amp;IF(FTP&gt;0,TEXT(ROUND(FTP*70/500,0)*5,"0"),"?")&amp;" W"&amp;") | 4x4'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6-7/10"&amp;CHAR(10)&amp;"10' RC (127-140 bpm / "&amp;IF(FTP&gt;0,TEXT(ROUND(FTP*60/500,0)*5,"0"),"?")&amp;"-"&amp;IF(FTP&gt;0,TEXT(ROUND(FTP*70/500,0)*5,"0"),"?")&amp;" W"&amp;")"</f>
        <v/>
      </c>
      <c r="I510" s="3" t="n"/>
      <c r="J510" s="3" t="n">
        <v>36</v>
      </c>
      <c r="K510" s="3" t="n"/>
    </row>
    <row r="511" ht="60" customHeight="1" s="159">
      <c r="A511" s="175" t="n">
        <v>46529</v>
      </c>
      <c r="B511" s="3" t="inlineStr">
        <is>
          <t>Samedi</t>
        </is>
      </c>
      <c r="C511" s="9" t="inlineStr">
        <is>
          <t>Natation</t>
        </is>
      </c>
      <c r="D511" s="5" t="inlineStr">
        <is>
          <t>GRAND BRICK — Nat (1/3)</t>
        </is>
      </c>
      <c r="E511" s="3" t="n">
        <v>70</v>
      </c>
      <c r="F511" s="5" t="inlineStr">
        <is>
          <t>-</t>
        </is>
      </c>
      <c r="G511" s="3" t="n">
        <v>4</v>
      </c>
      <c r="H511" s="6" t="inlineStr">
        <is>
          <t>Échauffement : 300 m souple (110-126 bpm, 2:23/100 m)
Bloc continu : 2500 m à allure IM, sans arrêt, conditions course (135-148 bpm, 2:09/100 m) — sighting toutes les 6-8 cycles de bras
Retour au calme : 200 m souple (110-126 bpm)
Total : 3000 m</t>
        </is>
      </c>
      <c r="I511" s="3" t="n"/>
      <c r="J511" s="3" t="n"/>
      <c r="K511" s="3" t="n">
        <v>3000</v>
      </c>
    </row>
    <row r="512" ht="36" customHeight="1" s="159">
      <c r="A512" s="175" t="n">
        <v>46529</v>
      </c>
      <c r="B512" s="3" t="inlineStr">
        <is>
          <t>Samedi</t>
        </is>
      </c>
      <c r="C512" s="8" t="inlineStr">
        <is>
          <t>Vélo</t>
        </is>
      </c>
      <c r="D512" s="5" t="inlineStr">
        <is>
          <t>GRAND BRICK — Vélo 5h (2/3)</t>
        </is>
      </c>
      <c r="E512" s="3" t="n">
        <v>300</v>
      </c>
      <c r="F512" s="5" t="inlineStr">
        <is>
          <t>Z2-Z3</t>
        </is>
      </c>
      <c r="G512" s="3" t="n">
        <v>7</v>
      </c>
      <c r="H512" s="6">
        <f>"300' Z2 (127-140 bpm / "&amp;IF(FTP&gt;0,TEXT(ROUND(FTP*60/500,0)*5,"0"),"?")&amp;"-"&amp;IF(FTP&gt;0,TEXT(ROUND(FTP*70/500,0)*5,"0"),"?")&amp;" W"&amp;") dont 3x40' allure IM (136-146 bpm, 70-75% FC max / "&amp;IF(FTP&gt;0,TEXT(ROUND(FTP*70/500,0)*5,"0"),"?")&amp;"-"&amp;IF(FTP&gt;0,TEXT(ROUND(FTP*75/500,0)*5,"0"),"?")&amp;" W"&amp;")"&amp;CHAR(10)&amp;"Cadence 85-92 rpm"&amp;CHAR(10)&amp;"NUTRITION : 90g glucides/h — stratégie course complète"</f>
        <v/>
      </c>
      <c r="I512" s="3" t="n"/>
      <c r="J512" s="3" t="n">
        <v>140</v>
      </c>
      <c r="K512" s="3" t="n"/>
    </row>
    <row r="513" ht="24" customHeight="1" s="159">
      <c r="A513" s="175" t="n">
        <v>46529</v>
      </c>
      <c r="B513" s="3" t="inlineStr">
        <is>
          <t>Samedi</t>
        </is>
      </c>
      <c r="C513" s="7" t="inlineStr">
        <is>
          <t>Course</t>
        </is>
      </c>
      <c r="D513" s="5" t="inlineStr">
        <is>
          <t>GRAND BRICK — CAP (3/3) — 13 km</t>
        </is>
      </c>
      <c r="E513" s="3" t="n">
        <v>76</v>
      </c>
      <c r="F513" s="5" t="inlineStr">
        <is>
          <t>Z2-Z3</t>
        </is>
      </c>
      <c r="G513" s="3" t="n">
        <v>6</v>
      </c>
      <c r="H513" s="6" t="inlineStr">
        <is>
          <t>Transition directe après vélo — 76' allure IM (150-155 bpm)
Gels comme en course</t>
        </is>
      </c>
      <c r="I513" s="3" t="n">
        <v>13</v>
      </c>
      <c r="J513" s="3" t="n"/>
      <c r="K513" s="3" t="n"/>
    </row>
    <row r="514" ht="60" customHeight="1" s="159">
      <c r="A514" s="175" t="n">
        <v>46530</v>
      </c>
      <c r="B514" s="3" t="inlineStr">
        <is>
          <t>Dimanche</t>
        </is>
      </c>
      <c r="C514" s="9" t="inlineStr">
        <is>
          <t>Natation</t>
        </is>
      </c>
      <c r="D514" s="5" t="inlineStr">
        <is>
          <t>Natation récupération</t>
        </is>
      </c>
      <c r="E514" s="3" t="n">
        <v>96</v>
      </c>
      <c r="F514" s="5" t="inlineStr">
        <is>
          <t>-</t>
        </is>
      </c>
      <c r="G514" s="3" t="n">
        <v>2</v>
      </c>
      <c r="H514" s="6" t="inlineStr">
        <is>
          <t>Échauffement : 200 m souple (110-126 bpm)
Série : 31 x 100 m technique, nage relâchée (110-120 bpm) — repos 30 s
Retour au calme : 50 m souple
Consigne : séance de récupération : relâchement, amplitude, aucune recherche de vitesse
Total : 3350 m</t>
        </is>
      </c>
      <c r="I514" s="3" t="n"/>
      <c r="J514" s="3" t="n"/>
      <c r="K514" s="3" t="n">
        <v>3350</v>
      </c>
    </row>
    <row r="515" ht="15" customHeight="1" s="159">
      <c r="A515" s="10" t="n"/>
      <c r="B515" s="10" t="n"/>
      <c r="C515" s="10" t="n"/>
      <c r="D515" s="10" t="n"/>
      <c r="E515" s="10" t="n"/>
      <c r="F515" s="10" t="n"/>
      <c r="G515" s="10" t="n"/>
      <c r="H515" s="11" t="inlineStr">
        <is>
          <t>TOTAL SEMAINE</t>
        </is>
      </c>
      <c r="I515" s="10">
        <f>SUM(I503:I514)</f>
        <v/>
      </c>
      <c r="J515" s="10">
        <f>SUM(J503:J514)</f>
        <v/>
      </c>
      <c r="K515" s="10">
        <f>SUM(K503:K514)</f>
        <v/>
      </c>
    </row>
    <row r="516" ht="15" customHeight="1" s="159">
      <c r="A516" s="146" t="inlineStr">
        <is>
          <t xml:space="preserve">  S39 — 24/05/2027 → 30/05/2027   |     Phase 4 — Bloc Final IM</t>
        </is>
      </c>
    </row>
    <row r="517" ht="24" customHeight="1" s="159">
      <c r="A517" s="175" t="n">
        <v>46531</v>
      </c>
      <c r="B517" s="3" t="inlineStr">
        <is>
          <t>Lundi</t>
        </is>
      </c>
      <c r="C517" s="4" t="inlineStr">
        <is>
          <t>Repos</t>
        </is>
      </c>
      <c r="D517" s="5" t="inlineStr">
        <is>
          <t>OFF</t>
        </is>
      </c>
      <c r="E517" s="3" t="inlineStr">
        <is>
          <t>-</t>
        </is>
      </c>
      <c r="F517" s="5" t="inlineStr">
        <is>
          <t>-</t>
        </is>
      </c>
      <c r="G517" s="3" t="n">
        <v>1</v>
      </c>
      <c r="H517" s="6" t="inlineStr">
        <is>
          <t>Repos complet</t>
        </is>
      </c>
      <c r="I517" s="3" t="n"/>
      <c r="J517" s="3" t="n"/>
      <c r="K517" s="3" t="n"/>
    </row>
    <row r="518" ht="144" customHeight="1" s="159">
      <c r="A518" s="175" t="n">
        <v>46532</v>
      </c>
      <c r="B518" s="3" t="inlineStr">
        <is>
          <t>Mardi</t>
        </is>
      </c>
      <c r="C518" s="7" t="inlineStr">
        <is>
          <t>Course</t>
        </is>
      </c>
      <c r="D518" s="5" t="inlineStr">
        <is>
          <t>Qualité — 30-20-10 (SV1 / SV1+ / Allure IM)</t>
        </is>
      </c>
      <c r="E518" s="3" t="n">
        <v>80</v>
      </c>
      <c r="F518" s="5" t="inlineStr">
        <is>
          <t>Z3</t>
        </is>
      </c>
      <c r="G518" s="3" t="n">
        <v>6</v>
      </c>
      <c r="H518" s="6" t="inlineStr">
        <is>
          <t>Objectif : durabilité : finir à l'allure IM après SV1 → SV1+ — répéter le ravitaillement : 30 g de glucides
8' EF Z2 (127-140 bpm)
30' SV1 (155-165 bpm)
3' de repos
20' SV1+ (165-171 bpm)
3' de repos
10' Allure IM (150-155 bpm)
6' EF Z2 (127-140 bpm)</t>
        </is>
      </c>
      <c r="I518" s="3" t="n">
        <v>14.5</v>
      </c>
      <c r="J518" s="3" t="n"/>
      <c r="K518" s="3" t="n"/>
    </row>
    <row r="519" ht="24" customHeight="1" s="159">
      <c r="A519" s="175" t="n">
        <v>46532</v>
      </c>
      <c r="B519" s="3" t="inlineStr">
        <is>
          <t>Mardi</t>
        </is>
      </c>
      <c r="C519" s="8" t="inlineStr">
        <is>
          <t>Vélo</t>
        </is>
      </c>
      <c r="D519" s="5" t="inlineStr">
        <is>
          <t>Vélo récupération Z1</t>
        </is>
      </c>
      <c r="E519" s="3" t="n">
        <v>64</v>
      </c>
      <c r="F519" s="5" t="inlineStr">
        <is>
          <t>Z2</t>
        </is>
      </c>
      <c r="G519" s="3" t="n">
        <v>2</v>
      </c>
      <c r="H519" s="6">
        <f>"64' Z1 très facile (&lt; 127 bpm / "&amp;IF(FTP&gt;0,TEXT(ROUND(FTP*50/500,0)*5,"0"),"?")&amp;"-"&amp;IF(FTP&gt;0,TEXT(ROUND(FTP*55/500,0)*5,"0"),"?")&amp;" W"&amp;") — récupération active"&amp;CHAR(10)&amp;"Cadence souple 85-90 rpm"</f>
        <v/>
      </c>
      <c r="I519" s="3" t="n"/>
      <c r="J519" s="3" t="n">
        <v>30</v>
      </c>
      <c r="K519" s="3" t="n"/>
    </row>
    <row r="520" ht="60" customHeight="1" s="159">
      <c r="A520" s="175" t="n">
        <v>46532</v>
      </c>
      <c r="B520" s="3" t="inlineStr">
        <is>
          <t>Mardi</t>
        </is>
      </c>
      <c r="C520" s="9" t="inlineStr">
        <is>
          <t>Natation</t>
        </is>
      </c>
      <c r="D520" s="5" t="inlineStr">
        <is>
          <t>Natation endurance</t>
        </is>
      </c>
      <c r="E520" s="3" t="n">
        <v>76</v>
      </c>
      <c r="F520" s="5" t="inlineStr">
        <is>
          <t>-</t>
        </is>
      </c>
      <c r="G520" s="3" t="n">
        <v>4</v>
      </c>
      <c r="H520" s="6" t="inlineStr">
        <is>
          <t>Échauffement : 200 m souple (110-126 bpm, 2:21/100 m)
Série principale : 9 x 300 m à allure soutenue (135-148 bpm, 2:04/100 m) — repos 20 s
Retour au calme : 200 m souple (110-126 bpm)
Consigne : allure constante sur chaque répétition ; sighting toutes les 6-8 cycles de bras
Total : 3100 m</t>
        </is>
      </c>
      <c r="I520" s="3" t="n"/>
      <c r="J520" s="3" t="n"/>
      <c r="K520" s="3" t="n">
        <v>3100</v>
      </c>
    </row>
    <row r="521" ht="72" customHeight="1" s="159">
      <c r="A521" s="175" t="n">
        <v>46533</v>
      </c>
      <c r="B521" s="3" t="inlineStr">
        <is>
          <t>Mercredi</t>
        </is>
      </c>
      <c r="C521" s="8" t="inlineStr">
        <is>
          <t>Vélo</t>
        </is>
      </c>
      <c r="D521" s="5" t="inlineStr">
        <is>
          <t>Vélo clé — Bloc allure IM 3x30' (136-146 bpm) — r=5'</t>
        </is>
      </c>
      <c r="E521" s="3" t="n">
        <v>163</v>
      </c>
      <c r="F521" s="5" t="inlineStr">
        <is>
          <t>Z2-Z3</t>
        </is>
      </c>
      <c r="G521" s="3" t="n">
        <v>6</v>
      </c>
      <c r="H521" s="6">
        <f>"53' EF Z2 (127-140 bpm / "&amp;IF(FTP&gt;0,TEXT(ROUND(FTP*60/500,0)*5,"0"),"?")&amp;"-"&amp;IF(FTP&gt;0,TEXT(ROUND(FTP*70/500,0)*5,"0"),"?")&amp;" W"&amp;") | 3x30' allure IM (136-146 bpm, 70-75% FC max / "&amp;IF(FTP&gt;0,TEXT(ROUND(FTP*70/500,0)*5,"0"),"?")&amp;"-"&amp;IF(FTP&gt;0,TEXT(ROUND(FTP*75/500,0)*5,"0"),"?")&amp;" W"&amp;") — r=5'"&amp;CHAR(10)&amp;"Objectif : spécificité Ironman : rouler à l'effort de course et répéter le ravitaillement"&amp;CHAR(10)&amp;"FC bloc cible : 136-146 bpm (70-75% FC max) | Cadence : 85-92 rpm | RPE 5-6/10"&amp;CHAR(10)&amp;"NUTRITION : 90g glucides/h si &gt;90'"&amp;CHAR(10)&amp;"10' RC (127-140 bpm / "&amp;IF(FTP&gt;0,TEXT(ROUND(FTP*60/500,0)*5,"0"),"?")&amp;"-"&amp;IF(FTP&gt;0,TEXT(ROUND(FTP*70/500,0)*5,"0"),"?")&amp;" W"&amp;")"</f>
        <v/>
      </c>
      <c r="I521" s="3" t="n"/>
      <c r="J521" s="3" t="n">
        <v>76</v>
      </c>
      <c r="K521" s="3" t="n"/>
    </row>
    <row r="522" ht="24" customHeight="1" s="159">
      <c r="A522" s="175" t="n">
        <v>46534</v>
      </c>
      <c r="B522" s="3" t="inlineStr">
        <is>
          <t>Jeudi</t>
        </is>
      </c>
      <c r="C522" s="7" t="inlineStr">
        <is>
          <t>Course</t>
        </is>
      </c>
      <c r="D522" s="5" t="inlineStr">
        <is>
          <t>EF Z2</t>
        </is>
      </c>
      <c r="E522" s="3" t="n">
        <v>89</v>
      </c>
      <c r="F522" s="5" t="inlineStr">
        <is>
          <t>Z2</t>
        </is>
      </c>
      <c r="G522" s="3" t="n">
        <v>4</v>
      </c>
      <c r="H522" s="6" t="inlineStr">
        <is>
          <t>89' EF Z2 (127-140 bpm)
Allure facile, cadence naturelle</t>
        </is>
      </c>
      <c r="I522" s="3" t="n">
        <v>14.5</v>
      </c>
      <c r="J522" s="3" t="n"/>
      <c r="K522" s="3" t="n"/>
    </row>
    <row r="523" ht="60" customHeight="1" s="159">
      <c r="A523" s="175" t="n">
        <v>46534</v>
      </c>
      <c r="B523" s="3" t="inlineStr">
        <is>
          <t>Jeudi</t>
        </is>
      </c>
      <c r="C523" s="9" t="inlineStr">
        <is>
          <t>Natation</t>
        </is>
      </c>
      <c r="D523" s="5" t="inlineStr">
        <is>
          <t>Natation récupération</t>
        </is>
      </c>
      <c r="E523" s="3" t="n">
        <v>81</v>
      </c>
      <c r="F523" s="5" t="inlineStr">
        <is>
          <t>-</t>
        </is>
      </c>
      <c r="G523" s="3" t="n">
        <v>2</v>
      </c>
      <c r="H523" s="6" t="inlineStr">
        <is>
          <t>Échauffement : 200 m souple (110-126 bpm)
Série : 25 x 100 m technique, nage relâchée (110-120 bpm) — repos 30 s + 50 m souple
Retour au calme : 50 m souple
Consigne : séance de récupération : relâchement, amplitude, aucune recherche de vitesse
Total : 2800 m</t>
        </is>
      </c>
      <c r="I523" s="3" t="n"/>
      <c r="J523" s="3" t="n"/>
      <c r="K523" s="3" t="n">
        <v>2800</v>
      </c>
    </row>
    <row r="524" ht="24" customHeight="1" s="159">
      <c r="A524" s="175" t="n">
        <v>46535</v>
      </c>
      <c r="B524" s="3" t="inlineStr">
        <is>
          <t>Vendredi</t>
        </is>
      </c>
      <c r="C524" s="7" t="inlineStr">
        <is>
          <t>Course</t>
        </is>
      </c>
      <c r="D524" s="5" t="inlineStr">
        <is>
          <t>EF Z2 — court</t>
        </is>
      </c>
      <c r="E524" s="3" t="n">
        <v>40</v>
      </c>
      <c r="F524" s="5" t="inlineStr">
        <is>
          <t>Z1-Z2</t>
        </is>
      </c>
      <c r="G524" s="3" t="n">
        <v>2</v>
      </c>
      <c r="H524" s="6" t="inlineStr">
        <is>
          <t>40' EF Z1-Z2 (120-135 bpm) — COURT
Vraie récup — pas de strides</t>
        </is>
      </c>
      <c r="I524" s="3" t="n">
        <v>6</v>
      </c>
      <c r="J524" s="3" t="n"/>
      <c r="K524" s="3" t="n"/>
    </row>
    <row r="525" ht="60" customHeight="1" s="159">
      <c r="A525" s="175" t="n">
        <v>46535</v>
      </c>
      <c r="B525" s="3" t="inlineStr">
        <is>
          <t>Vendredi</t>
        </is>
      </c>
      <c r="C525" s="8" t="inlineStr">
        <is>
          <t>Vélo</t>
        </is>
      </c>
      <c r="D525" s="5" t="inlineStr">
        <is>
          <t>Force spécifique</t>
        </is>
      </c>
      <c r="E525" s="3" t="n">
        <v>133</v>
      </c>
      <c r="F525" s="5" t="inlineStr">
        <is>
          <t>Z2-Z3</t>
        </is>
      </c>
      <c r="G525" s="3" t="n">
        <v>5</v>
      </c>
      <c r="H525" s="6">
        <f>"78' EF (127-140 bpm / "&amp;IF(FTP&gt;0,TEXT(ROUND(FTP*60/500,0)*5,"0"),"?")&amp;"-"&amp;IF(FTP&gt;0,TEXT(ROUND(FTP*70/500,0)*5,"0"),"?")&amp;" W"&amp;") | 6x5'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525" s="3" t="n"/>
      <c r="J525" s="3" t="n">
        <v>62</v>
      </c>
      <c r="K525" s="3" t="n"/>
    </row>
    <row r="526" ht="84" customHeight="1" s="159">
      <c r="A526" s="175" t="n">
        <v>46536</v>
      </c>
      <c r="B526" s="3" t="inlineStr">
        <is>
          <t>Samedi</t>
        </is>
      </c>
      <c r="C526" s="9" t="inlineStr">
        <is>
          <t>Natation</t>
        </is>
      </c>
      <c r="D526" s="5" t="inlineStr">
        <is>
          <t>Natation technique + bloc IM</t>
        </is>
      </c>
      <c r="E526" s="3" t="n">
        <v>109</v>
      </c>
      <c r="F526" s="5" t="inlineStr">
        <is>
          <t>-</t>
        </is>
      </c>
      <c r="G526" s="3" t="n">
        <v>5</v>
      </c>
      <c r="H526" s="6" t="inlineStr">
        <is>
          <t>Échauffement : 4 x 50 m facile (108-117 bpm) — repos 30 s
Éducatifs : 8 x 50 m (catch-up, finger drag, sighting) — repos 30 s
Bloc continu : 2800 m à allure IM, sans arrêt (135-148 bpm, 2:07/100 m) — sighting toutes les 6-8 cycles de bras
Pull buoy : 7 x 100 m (135-148 bpm, 2:04/100 m) — repos 30 s
Retour au calme : 200 m souple (110-126 bpm)
Total : 4300 m</t>
        </is>
      </c>
      <c r="I526" s="3" t="n"/>
      <c r="J526" s="3" t="n"/>
      <c r="K526" s="3" t="n">
        <v>4300</v>
      </c>
    </row>
    <row r="527" ht="24" customHeight="1" s="159">
      <c r="A527" s="175" t="n">
        <v>46536</v>
      </c>
      <c r="B527" s="3" t="inlineStr">
        <is>
          <t>Samedi</t>
        </is>
      </c>
      <c r="C527" s="7" t="inlineStr">
        <is>
          <t>Course</t>
        </is>
      </c>
      <c r="D527" s="5" t="inlineStr">
        <is>
          <t>SORTIE LONGUE Z2 + fin allure IM — 179' (29 km)</t>
        </is>
      </c>
      <c r="E527" s="3" t="n">
        <v>179</v>
      </c>
      <c r="F527" s="5" t="inlineStr">
        <is>
          <t>Z2-Z3</t>
        </is>
      </c>
      <c r="G527" s="3" t="n">
        <v>6</v>
      </c>
      <c r="H527" s="6" t="inlineStr">
        <is>
          <t>171' Z2 (127-140 bpm) | 5' allure IM (150-155 bpm) | 3' RC
Nutrition : gel à 45', 90' et 135'</t>
        </is>
      </c>
      <c r="I527" s="3" t="n">
        <v>29</v>
      </c>
      <c r="J527" s="3" t="n"/>
      <c r="K527" s="3" t="n"/>
    </row>
    <row r="528" ht="48" customHeight="1" s="159">
      <c r="A528" s="175" t="n">
        <v>46537</v>
      </c>
      <c r="B528" s="3" t="inlineStr">
        <is>
          <t>Dimanche</t>
        </is>
      </c>
      <c r="C528" s="8" t="inlineStr">
        <is>
          <t>Vélo</t>
        </is>
      </c>
      <c r="D528" s="5" t="inlineStr">
        <is>
          <t>Sortie longue — 354' (165.0 km) — 3x40' allure IM</t>
        </is>
      </c>
      <c r="E528" s="3" t="n">
        <v>354</v>
      </c>
      <c r="F528" s="5" t="inlineStr">
        <is>
          <t>Z2-Z3</t>
        </is>
      </c>
      <c r="G528" s="3" t="n">
        <v>6</v>
      </c>
      <c r="H528" s="6">
        <f>"354' Z2 (127-140 bpm / "&amp;IF(FTP&gt;0,TEXT(ROUND(FTP*60/500,0)*5,"0"),"?")&amp;"-"&amp;IF(FTP&gt;0,TEXT(ROUND(FTP*70/500,0)*5,"0"),"?")&amp;" W"&amp;") dont 3x40' allure IM (136-146 bpm / "&amp;IF(FTP&gt;0,TEXT(ROUND(FTP*70/500,0)*5,"0"),"?")&amp;"-"&amp;IF(FTP&gt;0,TEXT(ROUND(FTP*75/500,0)*5,"0"),"?")&amp;" W"&amp;") dans la seconde moitié — r=10' Z2"&amp;CHAR(10)&amp;"Cadence 85-92 rpm"&amp;CHAR(10)&amp;"NUTRITION : 90g glucides/h si &gt;60'"</f>
        <v/>
      </c>
      <c r="I528" s="3" t="n"/>
      <c r="J528" s="3" t="n">
        <v>165</v>
      </c>
      <c r="K528" s="3" t="n"/>
    </row>
    <row r="529" ht="24" customHeight="1" s="159">
      <c r="A529" s="175" t="n">
        <v>46537</v>
      </c>
      <c r="B529" s="3" t="inlineStr">
        <is>
          <t>Dimanche</t>
        </is>
      </c>
      <c r="C529" s="7" t="inlineStr">
        <is>
          <t>Course</t>
        </is>
      </c>
      <c r="D529" s="5" t="inlineStr">
        <is>
          <t>CAP en Brick — 35'</t>
        </is>
      </c>
      <c r="E529" s="3" t="n">
        <v>35</v>
      </c>
      <c r="F529" s="5" t="inlineStr">
        <is>
          <t>Z2-Z3</t>
        </is>
      </c>
      <c r="G529" s="3" t="n">
        <v>4</v>
      </c>
      <c r="H529" s="6" t="inlineStr">
        <is>
          <t>Transition directe après vélo — 35' @ Z2-Z3 (127-155 bpm)
Adaptation transition vélo→CAP</t>
        </is>
      </c>
      <c r="I529" s="3" t="n">
        <v>6</v>
      </c>
      <c r="J529" s="3" t="n"/>
      <c r="K529" s="3" t="n"/>
    </row>
    <row r="530" ht="15" customHeight="1" s="159">
      <c r="A530" s="10" t="n"/>
      <c r="B530" s="10" t="n"/>
      <c r="C530" s="10" t="n"/>
      <c r="D530" s="10" t="n"/>
      <c r="E530" s="10" t="n"/>
      <c r="F530" s="10" t="n"/>
      <c r="G530" s="10" t="n"/>
      <c r="H530" s="11" t="inlineStr">
        <is>
          <t>TOTAL SEMAINE</t>
        </is>
      </c>
      <c r="I530" s="10">
        <f>SUM(I517:I529)</f>
        <v/>
      </c>
      <c r="J530" s="10">
        <f>SUM(J517:J529)</f>
        <v/>
      </c>
      <c r="K530" s="10">
        <f>SUM(K517:K529)</f>
        <v/>
      </c>
    </row>
    <row r="531" ht="15" customHeight="1" s="159">
      <c r="A531" s="146" t="inlineStr">
        <is>
          <t xml:space="preserve">  S40 — 31/05/2027 → 06/06/2027   |     Phase 4 — Bloc Final IM</t>
        </is>
      </c>
    </row>
    <row r="532" ht="72" customHeight="1" s="159">
      <c r="A532" s="175" t="n">
        <v>46538</v>
      </c>
      <c r="B532" s="3" t="inlineStr">
        <is>
          <t>Lundi</t>
        </is>
      </c>
      <c r="C532" s="9" t="inlineStr">
        <is>
          <t>Natation</t>
        </is>
      </c>
      <c r="D532" s="5" t="inlineStr">
        <is>
          <t>Natation endurance</t>
        </is>
      </c>
      <c r="E532" s="3" t="n">
        <v>79</v>
      </c>
      <c r="F532" s="5" t="inlineStr">
        <is>
          <t>-</t>
        </is>
      </c>
      <c r="G532" s="3" t="n">
        <v>4</v>
      </c>
      <c r="H532" s="6" t="inlineStr">
        <is>
          <t>Échauffement : 200 m souple (110-126 bpm, 2:21/100 m)
Série principale : 9 x 300 m à allure soutenue (135-148 bpm, 2:04/100 m) — repos 20 s + 100 m à la suite, même allure
Retour au calme : 200 m souple (110-126 bpm)
Consigne : allure constante sur chaque répétition ; sighting toutes les 6-8 cycles de bras
Total : 3200 m</t>
        </is>
      </c>
      <c r="I532" s="3" t="n"/>
      <c r="J532" s="3" t="n"/>
      <c r="K532" s="3" t="n">
        <v>3200</v>
      </c>
    </row>
    <row r="533" ht="108" customHeight="1" s="159">
      <c r="A533" s="175" t="n">
        <v>46539</v>
      </c>
      <c r="B533" s="3" t="inlineStr">
        <is>
          <t>Mardi</t>
        </is>
      </c>
      <c r="C533" s="7" t="inlineStr">
        <is>
          <t>Course</t>
        </is>
      </c>
      <c r="D533" s="5" t="inlineStr">
        <is>
          <t>Qualité — 2km/1km x4 (Tempo / allure IM)</t>
        </is>
      </c>
      <c r="E533" s="3" t="n">
        <v>84</v>
      </c>
      <c r="F533" s="5" t="inlineStr">
        <is>
          <t>Z3-Z4</t>
        </is>
      </c>
      <c r="G533" s="3" t="n">
        <v>7</v>
      </c>
      <c r="H533" s="6" t="inlineStr">
        <is>
          <t>Objectif : spécificité Ironman : relances au-dessus de l'allure IM puis retour à l'allure IM (150-155 bpm), sans récupération
14' EF Z2 (127-140 bpm)
4 x [2 km à 85% FC max (165 bpm) + 1 km à allure IM (150-155 bpm)]
enchaînés, sans récupération
10' EF Z2 (127-140 bpm)</t>
        </is>
      </c>
      <c r="I533" s="3" t="n">
        <v>16</v>
      </c>
      <c r="J533" s="3" t="n"/>
      <c r="K533" s="3" t="n"/>
    </row>
    <row r="534" ht="24" customHeight="1" s="159">
      <c r="A534" s="175" t="n">
        <v>46539</v>
      </c>
      <c r="B534" s="3" t="inlineStr">
        <is>
          <t>Mardi</t>
        </is>
      </c>
      <c r="C534" s="8" t="inlineStr">
        <is>
          <t>Vélo</t>
        </is>
      </c>
      <c r="D534" s="5" t="inlineStr">
        <is>
          <t>Vélo récupération Z1</t>
        </is>
      </c>
      <c r="E534" s="3" t="n">
        <v>69</v>
      </c>
      <c r="F534" s="5" t="inlineStr">
        <is>
          <t>Z2</t>
        </is>
      </c>
      <c r="G534" s="3" t="n">
        <v>2</v>
      </c>
      <c r="H534" s="6">
        <f>"69' Z1 très facile (&lt; 127 bpm / "&amp;IF(FTP&gt;0,TEXT(ROUND(FTP*50/500,0)*5,"0"),"?")&amp;"-"&amp;IF(FTP&gt;0,TEXT(ROUND(FTP*55/500,0)*5,"0"),"?")&amp;" W"&amp;") — récupération active"&amp;CHAR(10)&amp;"Cadence souple 85-90 rpm"</f>
        <v/>
      </c>
      <c r="I534" s="3" t="n"/>
      <c r="J534" s="3" t="n">
        <v>32</v>
      </c>
      <c r="K534" s="3" t="n"/>
    </row>
    <row r="535" ht="72" customHeight="1" s="159">
      <c r="A535" s="175" t="n">
        <v>46540</v>
      </c>
      <c r="B535" s="3" t="inlineStr">
        <is>
          <t>Mercredi</t>
        </is>
      </c>
      <c r="C535" s="8" t="inlineStr">
        <is>
          <t>Vélo</t>
        </is>
      </c>
      <c r="D535" s="5" t="inlineStr">
        <is>
          <t>Vélo clé — Bloc allure IM 2x45' (136-146 bpm) — r=5'</t>
        </is>
      </c>
      <c r="E535" s="3" t="n">
        <v>167</v>
      </c>
      <c r="F535" s="5" t="inlineStr">
        <is>
          <t>Z2-Z3</t>
        </is>
      </c>
      <c r="G535" s="3" t="n">
        <v>6</v>
      </c>
      <c r="H535" s="6">
        <f>"62' EF Z2 (127-140 bpm / "&amp;IF(FTP&gt;0,TEXT(ROUND(FTP*60/500,0)*5,"0"),"?")&amp;"-"&amp;IF(FTP&gt;0,TEXT(ROUND(FTP*70/500,0)*5,"0"),"?")&amp;" W"&amp;") | 2x45' allure IM (136-146 bpm, 70-75% FC max / "&amp;IF(FTP&gt;0,TEXT(ROUND(FTP*70/500,0)*5,"0"),"?")&amp;"-"&amp;IF(FTP&gt;0,TEXT(ROUND(FTP*75/500,0)*5,"0"),"?")&amp;" W"&amp;") — r=5'"&amp;CHAR(10)&amp;"Objectif : spécificité Ironman : rouler à l'effort de course et répéter le ravitaillement"&amp;CHAR(10)&amp;"FC bloc cible : 136-146 bpm (70-75% FC max) | Cadence : 85-92 rpm | RPE 5-6/10"&amp;CHAR(10)&amp;"NUTRITION : 90g glucides/h si &gt;90'"&amp;CHAR(10)&amp;"10' RC (127-140 bpm / "&amp;IF(FTP&gt;0,TEXT(ROUND(FTP*60/500,0)*5,"0"),"?")&amp;"-"&amp;IF(FTP&gt;0,TEXT(ROUND(FTP*70/500,0)*5,"0"),"?")&amp;" W"&amp;")"</f>
        <v/>
      </c>
      <c r="I535" s="3" t="n"/>
      <c r="J535" s="3" t="n">
        <v>78</v>
      </c>
      <c r="K535" s="3" t="n"/>
    </row>
    <row r="536" ht="36" customHeight="1" s="159">
      <c r="A536" s="175" t="n">
        <v>46541</v>
      </c>
      <c r="B536" s="3" t="inlineStr">
        <is>
          <t>Jeudi</t>
        </is>
      </c>
      <c r="C536" s="7" t="inlineStr">
        <is>
          <t>Course</t>
        </is>
      </c>
      <c r="D536" s="5" t="inlineStr">
        <is>
          <t>EF Z2</t>
        </is>
      </c>
      <c r="E536" s="3" t="n">
        <v>92</v>
      </c>
      <c r="F536" s="5" t="inlineStr">
        <is>
          <t>Z2</t>
        </is>
      </c>
      <c r="G536" s="3" t="n">
        <v>4</v>
      </c>
      <c r="H536" s="6" t="inlineStr">
        <is>
          <t>92' EF Z2 (127-140 bpm)
Allure facile, cadence naturelle
Nutrition : gel à 45'</t>
        </is>
      </c>
      <c r="I536" s="3" t="n">
        <v>15</v>
      </c>
      <c r="J536" s="3" t="n"/>
      <c r="K536" s="3" t="n"/>
    </row>
    <row r="537" ht="60" customHeight="1" s="159">
      <c r="A537" s="175" t="n">
        <v>46541</v>
      </c>
      <c r="B537" s="3" t="inlineStr">
        <is>
          <t>Jeudi</t>
        </is>
      </c>
      <c r="C537" s="9" t="inlineStr">
        <is>
          <t>Natation</t>
        </is>
      </c>
      <c r="D537" s="5" t="inlineStr">
        <is>
          <t>Natation récupération</t>
        </is>
      </c>
      <c r="E537" s="3" t="n">
        <v>84</v>
      </c>
      <c r="F537" s="5" t="inlineStr">
        <is>
          <t>-</t>
        </is>
      </c>
      <c r="G537" s="3" t="n">
        <v>2</v>
      </c>
      <c r="H537" s="6" t="inlineStr">
        <is>
          <t>Échauffement : 200 m souple (110-126 bpm)
Série : 26 x 100 m technique, nage relâchée (110-120 bpm) — repos 30 s + 50 m souple
Retour au calme : 50 m souple
Consigne : séance de récupération : relâchement, amplitude, aucune recherche de vitesse
Total : 2900 m</t>
        </is>
      </c>
      <c r="I537" s="3" t="n"/>
      <c r="J537" s="3" t="n"/>
      <c r="K537" s="3" t="n">
        <v>2900</v>
      </c>
    </row>
    <row r="538" ht="24" customHeight="1" s="159">
      <c r="A538" s="175" t="n">
        <v>46542</v>
      </c>
      <c r="B538" s="3" t="inlineStr">
        <is>
          <t>Vendredi</t>
        </is>
      </c>
      <c r="C538" s="7" t="inlineStr">
        <is>
          <t>Course</t>
        </is>
      </c>
      <c r="D538" s="5" t="inlineStr">
        <is>
          <t>EF Z2 — court</t>
        </is>
      </c>
      <c r="E538" s="3" t="n">
        <v>40</v>
      </c>
      <c r="F538" s="5" t="inlineStr">
        <is>
          <t>Z1-Z2</t>
        </is>
      </c>
      <c r="G538" s="3" t="n">
        <v>2</v>
      </c>
      <c r="H538" s="6" t="inlineStr">
        <is>
          <t>40' EF Z1-Z2 (120-135 bpm) — COURT
Vraie récup — pas de strides</t>
        </is>
      </c>
      <c r="I538" s="3" t="n">
        <v>6</v>
      </c>
      <c r="J538" s="3" t="n"/>
      <c r="K538" s="3" t="n"/>
    </row>
    <row r="539" ht="60" customHeight="1" s="159">
      <c r="A539" s="175" t="n">
        <v>46542</v>
      </c>
      <c r="B539" s="3" t="inlineStr">
        <is>
          <t>Vendredi</t>
        </is>
      </c>
      <c r="C539" s="8" t="inlineStr">
        <is>
          <t>Vélo</t>
        </is>
      </c>
      <c r="D539" s="5" t="inlineStr">
        <is>
          <t>Force spécifique</t>
        </is>
      </c>
      <c r="E539" s="3" t="n">
        <v>139</v>
      </c>
      <c r="F539" s="5" t="inlineStr">
        <is>
          <t>Z2-Z3</t>
        </is>
      </c>
      <c r="G539" s="3" t="n">
        <v>5</v>
      </c>
      <c r="H539" s="6">
        <f>"84' EF (127-140 bpm / "&amp;IF(FTP&gt;0,TEXT(ROUND(FTP*60/500,0)*5,"0"),"?")&amp;"-"&amp;IF(FTP&gt;0,TEXT(ROUND(FTP*70/500,0)*5,"0"),"?")&amp;" W"&amp;") | 6x5'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539" s="3" t="n"/>
      <c r="J539" s="3" t="n">
        <v>65</v>
      </c>
      <c r="K539" s="3" t="n"/>
    </row>
    <row r="540" ht="84" customHeight="1" s="159">
      <c r="A540" s="175" t="n">
        <v>46543</v>
      </c>
      <c r="B540" s="3" t="inlineStr">
        <is>
          <t>Samedi</t>
        </is>
      </c>
      <c r="C540" s="9" t="inlineStr">
        <is>
          <t>Natation</t>
        </is>
      </c>
      <c r="D540" s="5" t="inlineStr">
        <is>
          <t>Natation technique + bloc IM</t>
        </is>
      </c>
      <c r="E540" s="3" t="n">
        <v>115</v>
      </c>
      <c r="F540" s="5" t="inlineStr">
        <is>
          <t>-</t>
        </is>
      </c>
      <c r="G540" s="3" t="n">
        <v>5</v>
      </c>
      <c r="H540" s="6" t="inlineStr">
        <is>
          <t>Échauffement : 4 x 50 m facile (108-117 bpm) — repos 30 s
Éducatifs : 8 x 50 m (catch-up, finger drag, sighting) — repos 30 s
Bloc continu : 3000 m à allure IM, sans arrêt (135-148 bpm, 2:07/100 m) — sighting toutes les 6-8 cycles de bras
Pull buoy : 7 x 100 m (135-148 bpm, 2:04/100 m) — repos 30 s
Retour au calme : 200 m souple (110-126 bpm)
Total : 4500 m</t>
        </is>
      </c>
      <c r="I540" s="3" t="n"/>
      <c r="J540" s="3" t="n"/>
      <c r="K540" s="3" t="n">
        <v>4500</v>
      </c>
    </row>
    <row r="541" ht="36" customHeight="1" s="159">
      <c r="A541" s="175" t="n">
        <v>46543</v>
      </c>
      <c r="B541" s="3" t="inlineStr">
        <is>
          <t>Samedi</t>
        </is>
      </c>
      <c r="C541" s="7" t="inlineStr">
        <is>
          <t>Course</t>
        </is>
      </c>
      <c r="D541" s="5" t="inlineStr">
        <is>
          <t>SORTIE LONGUE Z2 — 185' (30 km)</t>
        </is>
      </c>
      <c r="E541" s="3" t="n">
        <v>185</v>
      </c>
      <c r="F541" s="5" t="inlineStr">
        <is>
          <t>Z2</t>
        </is>
      </c>
      <c r="G541" s="3" t="n">
        <v>6</v>
      </c>
      <c r="H541" s="6" t="inlineStr">
        <is>
          <t>Z2 stable (185') — bloc final IM (127-140 bpm)
Gel à 45', 90', 135' et 180'
Allure conversationnelle</t>
        </is>
      </c>
      <c r="I541" s="3" t="n">
        <v>30</v>
      </c>
      <c r="J541" s="3" t="n"/>
      <c r="K541" s="3" t="n"/>
    </row>
    <row r="542" ht="48" customHeight="1" s="159">
      <c r="A542" s="175" t="n">
        <v>46544</v>
      </c>
      <c r="B542" s="3" t="inlineStr">
        <is>
          <t>Dimanche</t>
        </is>
      </c>
      <c r="C542" s="8" t="inlineStr">
        <is>
          <t>Vélo</t>
        </is>
      </c>
      <c r="D542" s="5" t="inlineStr">
        <is>
          <t>Sortie longue — 369' (172.0 km) — 3x45' allure IM</t>
        </is>
      </c>
      <c r="E542" s="3" t="n">
        <v>369</v>
      </c>
      <c r="F542" s="5" t="inlineStr">
        <is>
          <t>Z2-Z3</t>
        </is>
      </c>
      <c r="G542" s="3" t="n">
        <v>6</v>
      </c>
      <c r="H542" s="6">
        <f>"369' Z2 (127-140 bpm / "&amp;IF(FTP&gt;0,TEXT(ROUND(FTP*60/500,0)*5,"0"),"?")&amp;"-"&amp;IF(FTP&gt;0,TEXT(ROUND(FTP*70/500,0)*5,"0"),"?")&amp;" W"&amp;") dont 3x45' allure IM (136-146 bpm / "&amp;IF(FTP&gt;0,TEXT(ROUND(FTP*70/500,0)*5,"0"),"?")&amp;"-"&amp;IF(FTP&gt;0,TEXT(ROUND(FTP*75/500,0)*5,"0"),"?")&amp;" W"&amp;") dans la seconde moitié — r=10' Z2"&amp;CHAR(10)&amp;"Cadence 85-92 rpm"&amp;CHAR(10)&amp;"NUTRITION : 90g glucides/h si &gt;60'"</f>
        <v/>
      </c>
      <c r="I542" s="3" t="n"/>
      <c r="J542" s="3" t="n">
        <v>172</v>
      </c>
      <c r="K542" s="3" t="n"/>
    </row>
    <row r="543" ht="24" customHeight="1" s="159">
      <c r="A543" s="175" t="n">
        <v>46544</v>
      </c>
      <c r="B543" s="3" t="inlineStr">
        <is>
          <t>Dimanche</t>
        </is>
      </c>
      <c r="C543" s="7" t="inlineStr">
        <is>
          <t>Course</t>
        </is>
      </c>
      <c r="D543" s="5" t="inlineStr">
        <is>
          <t>CAP en Brick — 40'</t>
        </is>
      </c>
      <c r="E543" s="3" t="n">
        <v>40</v>
      </c>
      <c r="F543" s="5" t="inlineStr">
        <is>
          <t>Z2-Z3</t>
        </is>
      </c>
      <c r="G543" s="3" t="n">
        <v>4</v>
      </c>
      <c r="H543" s="6" t="inlineStr">
        <is>
          <t>Transition directe après vélo — 40' @ Z2-Z3 (127-155 bpm)
Adaptation transition vélo→CAP</t>
        </is>
      </c>
      <c r="I543" s="3" t="n">
        <v>7</v>
      </c>
      <c r="J543" s="3" t="n"/>
      <c r="K543" s="3" t="n"/>
    </row>
    <row r="544" ht="15" customHeight="1" s="159">
      <c r="A544" s="10" t="n"/>
      <c r="B544" s="10" t="n"/>
      <c r="C544" s="10" t="n"/>
      <c r="D544" s="10" t="n"/>
      <c r="E544" s="10" t="n"/>
      <c r="F544" s="10" t="n"/>
      <c r="G544" s="10" t="n"/>
      <c r="H544" s="11" t="inlineStr">
        <is>
          <t>TOTAL SEMAINE</t>
        </is>
      </c>
      <c r="I544" s="10">
        <f>SUM(I532:I543)</f>
        <v/>
      </c>
      <c r="J544" s="10">
        <f>SUM(J532:J543)</f>
        <v/>
      </c>
      <c r="K544" s="10">
        <f>SUM(K532:K543)</f>
        <v/>
      </c>
    </row>
    <row r="545" ht="15" customHeight="1" s="159">
      <c r="A545" s="146" t="inlineStr">
        <is>
          <t xml:space="preserve">  S41 — 07/06/2027 → 13/06/2027   |     Phase 4 — Bloc Final IM (Pic)</t>
        </is>
      </c>
    </row>
    <row r="546" ht="72" customHeight="1" s="159">
      <c r="A546" s="175" t="n">
        <v>46545</v>
      </c>
      <c r="B546" s="3" t="inlineStr">
        <is>
          <t>Lundi</t>
        </is>
      </c>
      <c r="C546" s="9" t="inlineStr">
        <is>
          <t>Natation</t>
        </is>
      </c>
      <c r="D546" s="5" t="inlineStr">
        <is>
          <t>Natation endurance</t>
        </is>
      </c>
      <c r="E546" s="3" t="n">
        <v>81</v>
      </c>
      <c r="F546" s="5" t="inlineStr">
        <is>
          <t>-</t>
        </is>
      </c>
      <c r="G546" s="3" t="n">
        <v>4</v>
      </c>
      <c r="H546" s="6" t="inlineStr">
        <is>
          <t>Échauffement : 200 m souple (110-126 bpm, 2:21/100 m)
Série principale : 9 x 300 m à allure soutenue (135-148 bpm, 2:04/100 m) — repos 20 s + 200 m à la suite, même allure
Retour au calme : 200 m souple (110-126 bpm)
Consigne : allure constante sur chaque répétition ; sighting toutes les 6-8 cycles de bras
Total : 3300 m</t>
        </is>
      </c>
      <c r="I546" s="3" t="n"/>
      <c r="J546" s="3" t="n"/>
      <c r="K546" s="3" t="n">
        <v>3300</v>
      </c>
    </row>
    <row r="547" ht="132" customHeight="1" s="159">
      <c r="A547" s="175" t="n">
        <v>46546</v>
      </c>
      <c r="B547" s="3" t="inlineStr">
        <is>
          <t>Mardi</t>
        </is>
      </c>
      <c r="C547" s="7" t="inlineStr">
        <is>
          <t>Course</t>
        </is>
      </c>
      <c r="D547" s="5" t="inlineStr">
        <is>
          <t>Qualité — 2km/1km x4 (Tempo / allure IM)</t>
        </is>
      </c>
      <c r="E547" s="3" t="n">
        <v>90</v>
      </c>
      <c r="F547" s="5" t="inlineStr">
        <is>
          <t>Z3-Z4</t>
        </is>
      </c>
      <c r="G547" s="3" t="n">
        <v>7</v>
      </c>
      <c r="H547" s="6" t="inlineStr">
        <is>
          <t>Objectif : spécificité Ironman : relances au-dessus de l'allure IM puis retour à l'allure IM (150-155 bpm), sans récupération — répéter le ravitaillement de course (même produits et même rythme que le jour J)
18' EF Z2 (127-140 bpm)
4 x [2 km à 85% FC max (165 bpm) + 1 km à allure IM (150-155 bpm)]
enchaînés, sans récupération
12' EF Z2 (127-140 bpm)
Nutrition : gel à 45'</t>
        </is>
      </c>
      <c r="I547" s="3" t="n">
        <v>17</v>
      </c>
      <c r="J547" s="3" t="n"/>
      <c r="K547" s="3" t="n"/>
    </row>
    <row r="548" ht="24" customHeight="1" s="159">
      <c r="A548" s="175" t="n">
        <v>46546</v>
      </c>
      <c r="B548" s="3" t="inlineStr">
        <is>
          <t>Mardi</t>
        </is>
      </c>
      <c r="C548" s="8" t="inlineStr">
        <is>
          <t>Vélo</t>
        </is>
      </c>
      <c r="D548" s="5" t="inlineStr">
        <is>
          <t>Vélo récupération Z1</t>
        </is>
      </c>
      <c r="E548" s="3" t="n">
        <v>69</v>
      </c>
      <c r="F548" s="5" t="inlineStr">
        <is>
          <t>Z2</t>
        </is>
      </c>
      <c r="G548" s="3" t="n">
        <v>2</v>
      </c>
      <c r="H548" s="6">
        <f>"69' Z1 très facile (&lt; 127 bpm / "&amp;IF(FTP&gt;0,TEXT(ROUND(FTP*50/500,0)*5,"0"),"?")&amp;"-"&amp;IF(FTP&gt;0,TEXT(ROUND(FTP*55/500,0)*5,"0"),"?")&amp;" W"&amp;") — récupération active"&amp;CHAR(10)&amp;"Cadence souple 85-90 rpm"</f>
        <v/>
      </c>
      <c r="I548" s="3" t="n"/>
      <c r="J548" s="3" t="n">
        <v>32</v>
      </c>
      <c r="K548" s="3" t="n"/>
    </row>
    <row r="549" ht="72" customHeight="1" s="159">
      <c r="A549" s="175" t="n">
        <v>46547</v>
      </c>
      <c r="B549" s="3" t="inlineStr">
        <is>
          <t>Mercredi</t>
        </is>
      </c>
      <c r="C549" s="8" t="inlineStr">
        <is>
          <t>Vélo</t>
        </is>
      </c>
      <c r="D549" s="5" t="inlineStr">
        <is>
          <t>Vélo clé — Bloc allure IM 2x50' (136-146 bpm) — r=5'</t>
        </is>
      </c>
      <c r="E549" s="3" t="n">
        <v>174</v>
      </c>
      <c r="F549" s="5" t="inlineStr">
        <is>
          <t>Z2-Z3</t>
        </is>
      </c>
      <c r="G549" s="3" t="n">
        <v>6</v>
      </c>
      <c r="H549" s="6">
        <f>"59' EF Z2 (127-140 bpm / "&amp;IF(FTP&gt;0,TEXT(ROUND(FTP*60/500,0)*5,"0"),"?")&amp;"-"&amp;IF(FTP&gt;0,TEXT(ROUND(FTP*70/500,0)*5,"0"),"?")&amp;" W"&amp;") | 2x50' allure IM (136-146 bpm, 70-75% FC max / "&amp;IF(FTP&gt;0,TEXT(ROUND(FTP*70/500,0)*5,"0"),"?")&amp;"-"&amp;IF(FTP&gt;0,TEXT(ROUND(FTP*75/500,0)*5,"0"),"?")&amp;" W"&amp;") — r=5'"&amp;CHAR(10)&amp;"Objectif : spécificité Ironman : rouler à l'effort de course et répéter le ravitaillement"&amp;CHAR(10)&amp;"FC bloc cible : 136-146 bpm (70-75% FC max) | Cadence : 85-92 rpm | RPE 5-6/10"&amp;CHAR(10)&amp;"NUTRITION : 90g glucides/h si &gt;90'"&amp;CHAR(10)&amp;"10' RC (127-140 bpm / "&amp;IF(FTP&gt;0,TEXT(ROUND(FTP*60/500,0)*5,"0"),"?")&amp;"-"&amp;IF(FTP&gt;0,TEXT(ROUND(FTP*70/500,0)*5,"0"),"?")&amp;" W"&amp;")"</f>
        <v/>
      </c>
      <c r="I549" s="3" t="n"/>
      <c r="J549" s="3" t="n">
        <v>81</v>
      </c>
      <c r="K549" s="3" t="n"/>
    </row>
    <row r="550" ht="36" customHeight="1" s="159">
      <c r="A550" s="175" t="n">
        <v>46548</v>
      </c>
      <c r="B550" s="3" t="inlineStr">
        <is>
          <t>Jeudi</t>
        </is>
      </c>
      <c r="C550" s="7" t="inlineStr">
        <is>
          <t>Course</t>
        </is>
      </c>
      <c r="D550" s="5" t="inlineStr">
        <is>
          <t>EF Z2</t>
        </is>
      </c>
      <c r="E550" s="3" t="n">
        <v>96</v>
      </c>
      <c r="F550" s="5" t="inlineStr">
        <is>
          <t>Z2</t>
        </is>
      </c>
      <c r="G550" s="3" t="n">
        <v>4</v>
      </c>
      <c r="H550" s="6" t="inlineStr">
        <is>
          <t>96' EF Z2 (127-140 bpm)
Allure facile, cadence naturelle
Nutrition : gel à 45'</t>
        </is>
      </c>
      <c r="I550" s="3" t="n">
        <v>15.5</v>
      </c>
      <c r="J550" s="3" t="n"/>
      <c r="K550" s="3" t="n"/>
    </row>
    <row r="551" ht="60" customHeight="1" s="159">
      <c r="A551" s="175" t="n">
        <v>46548</v>
      </c>
      <c r="B551" s="3" t="inlineStr">
        <is>
          <t>Jeudi</t>
        </is>
      </c>
      <c r="C551" s="9" t="inlineStr">
        <is>
          <t>Natation</t>
        </is>
      </c>
      <c r="D551" s="5" t="inlineStr">
        <is>
          <t>Natation récupération</t>
        </is>
      </c>
      <c r="E551" s="3" t="n">
        <v>87</v>
      </c>
      <c r="F551" s="5" t="inlineStr">
        <is>
          <t>-</t>
        </is>
      </c>
      <c r="G551" s="3" t="n">
        <v>2</v>
      </c>
      <c r="H551" s="6" t="inlineStr">
        <is>
          <t>Échauffement : 200 m souple (110-126 bpm)
Série : 27 x 100 m technique, nage relâchée (110-120 bpm) — repos 30 s + 50 m souple
Retour au calme : 50 m souple
Consigne : séance de récupération : relâchement, amplitude, aucune recherche de vitesse
Total : 3000 m</t>
        </is>
      </c>
      <c r="I551" s="3" t="n"/>
      <c r="J551" s="3" t="n"/>
      <c r="K551" s="3" t="n">
        <v>3000</v>
      </c>
    </row>
    <row r="552" ht="24" customHeight="1" s="159">
      <c r="A552" s="175" t="n">
        <v>46549</v>
      </c>
      <c r="B552" s="3" t="inlineStr">
        <is>
          <t>Vendredi</t>
        </is>
      </c>
      <c r="C552" s="7" t="inlineStr">
        <is>
          <t>Course</t>
        </is>
      </c>
      <c r="D552" s="5" t="inlineStr">
        <is>
          <t>EF Z2 — court</t>
        </is>
      </c>
      <c r="E552" s="3" t="n">
        <v>40</v>
      </c>
      <c r="F552" s="5" t="inlineStr">
        <is>
          <t>Z1-Z2</t>
        </is>
      </c>
      <c r="G552" s="3" t="n">
        <v>2</v>
      </c>
      <c r="H552" s="6" t="inlineStr">
        <is>
          <t>40' EF Z1-Z2 (120-135 bpm) — COURT
Vraie récup — pas de strides</t>
        </is>
      </c>
      <c r="I552" s="3" t="n">
        <v>6</v>
      </c>
      <c r="J552" s="3" t="n"/>
      <c r="K552" s="3" t="n"/>
    </row>
    <row r="553" ht="60" customHeight="1" s="159">
      <c r="A553" s="175" t="n">
        <v>46549</v>
      </c>
      <c r="B553" s="3" t="inlineStr">
        <is>
          <t>Vendredi</t>
        </is>
      </c>
      <c r="C553" s="8" t="inlineStr">
        <is>
          <t>Vélo</t>
        </is>
      </c>
      <c r="D553" s="5" t="inlineStr">
        <is>
          <t>Force spécifique</t>
        </is>
      </c>
      <c r="E553" s="3" t="n">
        <v>144</v>
      </c>
      <c r="F553" s="5" t="inlineStr">
        <is>
          <t>Z2-Z3</t>
        </is>
      </c>
      <c r="G553" s="3" t="n">
        <v>5</v>
      </c>
      <c r="H553" s="6">
        <f>"89' EF (127-140 bpm / "&amp;IF(FTP&gt;0,TEXT(ROUND(FTP*60/500,0)*5,"0"),"?")&amp;"-"&amp;IF(FTP&gt;0,TEXT(ROUND(FTP*70/500,0)*5,"0"),"?")&amp;" W"&amp;") | 6x5'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553" s="3" t="n"/>
      <c r="J553" s="3" t="n">
        <v>67</v>
      </c>
      <c r="K553" s="3" t="n"/>
    </row>
    <row r="554" ht="84" customHeight="1" s="159">
      <c r="A554" s="175" t="n">
        <v>46550</v>
      </c>
      <c r="B554" s="3" t="inlineStr">
        <is>
          <t>Samedi</t>
        </is>
      </c>
      <c r="C554" s="9" t="inlineStr">
        <is>
          <t>Natation</t>
        </is>
      </c>
      <c r="D554" s="5" t="inlineStr">
        <is>
          <t>Natation technique + bloc IM</t>
        </is>
      </c>
      <c r="E554" s="3" t="n">
        <v>120</v>
      </c>
      <c r="F554" s="5" t="inlineStr">
        <is>
          <t>-</t>
        </is>
      </c>
      <c r="G554" s="3" t="n">
        <v>5</v>
      </c>
      <c r="H554" s="6" t="inlineStr">
        <is>
          <t>Échauffement : 4 x 50 m facile (108-117 bpm) — repos 30 s
Éducatifs : 8 x 50 m (catch-up, finger drag, sighting) — repos 30 s
Bloc continu : 3200 m à allure IM, sans arrêt (135-148 bpm, 2:07/100 m) — sighting toutes les 6-8 cycles de bras
Pull buoy : 7 x 100 m (135-148 bpm, 2:04/100 m) — repos 30 s
Retour au calme : 200 m souple (110-126 bpm)
Total : 4700 m</t>
        </is>
      </c>
      <c r="I554" s="3" t="n"/>
      <c r="J554" s="3" t="n"/>
      <c r="K554" s="3" t="n">
        <v>4700</v>
      </c>
    </row>
    <row r="555" ht="36" customHeight="1" s="159">
      <c r="A555" s="175" t="n">
        <v>46550</v>
      </c>
      <c r="B555" s="3" t="inlineStr">
        <is>
          <t>Samedi</t>
        </is>
      </c>
      <c r="C555" s="7" t="inlineStr">
        <is>
          <t>Course</t>
        </is>
      </c>
      <c r="D555" s="5" t="inlineStr">
        <is>
          <t>SORTIE LONGUE Z2 — 197' (32 km)</t>
        </is>
      </c>
      <c r="E555" s="3" t="n">
        <v>197</v>
      </c>
      <c r="F555" s="5" t="inlineStr">
        <is>
          <t>Z2</t>
        </is>
      </c>
      <c r="G555" s="3" t="n">
        <v>6</v>
      </c>
      <c r="H555" s="6" t="inlineStr">
        <is>
          <t>Z2 stable (197') — bloc final IM, pic du plan (127-140 bpm)
Gel à 45', 90', 135' et 180'
Allure conversationnelle</t>
        </is>
      </c>
      <c r="I555" s="3" t="n">
        <v>32</v>
      </c>
      <c r="J555" s="3" t="n"/>
      <c r="K555" s="3" t="n"/>
    </row>
    <row r="556" ht="48" customHeight="1" s="159">
      <c r="A556" s="175" t="n">
        <v>46551</v>
      </c>
      <c r="B556" s="3" t="inlineStr">
        <is>
          <t>Dimanche</t>
        </is>
      </c>
      <c r="C556" s="8" t="inlineStr">
        <is>
          <t>Vélo</t>
        </is>
      </c>
      <c r="D556" s="5" t="inlineStr">
        <is>
          <t>Sortie longue — 386' (180.0 km) — 3x50' allure IM</t>
        </is>
      </c>
      <c r="E556" s="3" t="n">
        <v>386</v>
      </c>
      <c r="F556" s="5" t="inlineStr">
        <is>
          <t>Z2-Z3</t>
        </is>
      </c>
      <c r="G556" s="3" t="n">
        <v>6</v>
      </c>
      <c r="H556" s="6">
        <f>"386' Z2 (127-140 bpm / "&amp;IF(FTP&gt;0,TEXT(ROUND(FTP*60/500,0)*5,"0"),"?")&amp;"-"&amp;IF(FTP&gt;0,TEXT(ROUND(FTP*70/500,0)*5,"0"),"?")&amp;" W"&amp;") dont 3x50' allure IM (136-146 bpm / "&amp;IF(FTP&gt;0,TEXT(ROUND(FTP*70/500,0)*5,"0"),"?")&amp;"-"&amp;IF(FTP&gt;0,TEXT(ROUND(FTP*75/500,0)*5,"0"),"?")&amp;" W"&amp;") dans la seconde moitié — r=10' Z2"&amp;CHAR(10)&amp;"Cadence 85-92 rpm"&amp;CHAR(10)&amp;"NUTRITION : 90g glucides/h si &gt;60'"</f>
        <v/>
      </c>
      <c r="I556" s="3" t="n"/>
      <c r="J556" s="3" t="n">
        <v>180</v>
      </c>
      <c r="K556" s="3" t="n"/>
    </row>
    <row r="557" ht="24" customHeight="1" s="159">
      <c r="A557" s="175" t="n">
        <v>46551</v>
      </c>
      <c r="B557" s="3" t="inlineStr">
        <is>
          <t>Dimanche</t>
        </is>
      </c>
      <c r="C557" s="7" t="inlineStr">
        <is>
          <t>Course</t>
        </is>
      </c>
      <c r="D557" s="5" t="inlineStr">
        <is>
          <t>CAP en Brick — 45'</t>
        </is>
      </c>
      <c r="E557" s="3" t="n">
        <v>45</v>
      </c>
      <c r="F557" s="5" t="inlineStr">
        <is>
          <t>Z2-Z3</t>
        </is>
      </c>
      <c r="G557" s="3" t="n">
        <v>4</v>
      </c>
      <c r="H557" s="6" t="inlineStr">
        <is>
          <t>Transition directe après vélo — 45' @ Z2-Z3 (127-155 bpm)
Adaptation transition vélo→CAP</t>
        </is>
      </c>
      <c r="I557" s="3" t="n">
        <v>7.5</v>
      </c>
      <c r="J557" s="3" t="n"/>
      <c r="K557" s="3" t="n"/>
    </row>
    <row r="558" ht="15" customHeight="1" s="159">
      <c r="A558" s="10" t="n"/>
      <c r="B558" s="10" t="n"/>
      <c r="C558" s="10" t="n"/>
      <c r="D558" s="10" t="n"/>
      <c r="E558" s="10" t="n"/>
      <c r="F558" s="10" t="n"/>
      <c r="G558" s="10" t="n"/>
      <c r="H558" s="11" t="inlineStr">
        <is>
          <t>TOTAL SEMAINE</t>
        </is>
      </c>
      <c r="I558" s="10">
        <f>SUM(I546:I557)</f>
        <v/>
      </c>
      <c r="J558" s="10">
        <f>SUM(J546:J557)</f>
        <v/>
      </c>
      <c r="K558" s="10">
        <f>SUM(K546:K557)</f>
        <v/>
      </c>
    </row>
    <row r="559" ht="15" customHeight="1" s="159">
      <c r="A559" s="147" t="inlineStr">
        <is>
          <t xml:space="preserve">  S42 — 14/06/2027 → 20/06/2027   |     Affûtage Ironman (Taper)</t>
        </is>
      </c>
    </row>
    <row r="560" ht="15" customHeight="1" s="159">
      <c r="A560" s="175" t="n">
        <v>46552</v>
      </c>
      <c r="B560" s="3" t="inlineStr">
        <is>
          <t>Lundi</t>
        </is>
      </c>
      <c r="C560" s="4" t="inlineStr">
        <is>
          <t>Repos</t>
        </is>
      </c>
      <c r="D560" s="5" t="inlineStr">
        <is>
          <t>OFF</t>
        </is>
      </c>
      <c r="E560" s="3" t="inlineStr">
        <is>
          <t>-</t>
        </is>
      </c>
      <c r="F560" s="5" t="inlineStr">
        <is>
          <t>-</t>
        </is>
      </c>
      <c r="G560" s="3" t="n">
        <v>1</v>
      </c>
      <c r="H560" s="6" t="inlineStr">
        <is>
          <t>Repos complet</t>
        </is>
      </c>
      <c r="I560" s="3" t="n"/>
      <c r="J560" s="3" t="n"/>
      <c r="K560" s="3" t="n"/>
    </row>
    <row r="561" ht="108" customHeight="1" s="159">
      <c r="A561" s="175" t="n">
        <v>46553</v>
      </c>
      <c r="B561" s="3" t="inlineStr">
        <is>
          <t>Mardi</t>
        </is>
      </c>
      <c r="C561" s="7" t="inlineStr">
        <is>
          <t>Course</t>
        </is>
      </c>
      <c r="D561" s="5" t="inlineStr">
        <is>
          <t>Tempo — Jog progressif 57' — affûtage</t>
        </is>
      </c>
      <c r="E561" s="3" t="n">
        <v>57</v>
      </c>
      <c r="F561" s="5" t="inlineStr">
        <is>
          <t>Z2-Z3</t>
        </is>
      </c>
      <c r="G561" s="3" t="n">
        <v>5</v>
      </c>
      <c r="H561" s="6" t="inlineStr">
        <is>
          <t>Objectif : endurance aérobie active, allure progressive (70 → 80% FC max)
19' à 70-72% FC max (136-140 bpm)
19' à 74-77% (144-149 bpm)
19' à 78-80% (151-155 bpm)
(un seul bloc continu, la progression se fait à la FC)
Affûtage : finir par 4 lignes droites de 20'' (récup complète), rester frais pour la course</t>
        </is>
      </c>
      <c r="I561" s="3" t="n">
        <v>10</v>
      </c>
      <c r="J561" s="3" t="n"/>
      <c r="K561" s="3" t="n"/>
    </row>
    <row r="562" ht="24" customHeight="1" s="159">
      <c r="A562" s="175" t="n">
        <v>46553</v>
      </c>
      <c r="B562" s="3" t="inlineStr">
        <is>
          <t>Mardi</t>
        </is>
      </c>
      <c r="C562" s="8" t="inlineStr">
        <is>
          <t>Vélo</t>
        </is>
      </c>
      <c r="D562" s="5" t="inlineStr">
        <is>
          <t>Vélo récupération Z1</t>
        </is>
      </c>
      <c r="E562" s="3" t="n">
        <v>60</v>
      </c>
      <c r="F562" s="5" t="inlineStr">
        <is>
          <t>Z2</t>
        </is>
      </c>
      <c r="G562" s="3" t="n">
        <v>2</v>
      </c>
      <c r="H562" s="6">
        <f>"60' Z1 très facile (&lt; 127 bpm / "&amp;IF(FTP&gt;0,TEXT(ROUND(FTP*50/500,0)*5,"0"),"?")&amp;"-"&amp;IF(FTP&gt;0,TEXT(ROUND(FTP*55/500,0)*5,"0"),"?")&amp;" W"&amp;") — récupération active"&amp;CHAR(10)&amp;"Cadence souple 85-90 rpm"</f>
        <v/>
      </c>
      <c r="I562" s="3" t="n"/>
      <c r="J562" s="3" t="n">
        <v>28</v>
      </c>
      <c r="K562" s="3" t="n"/>
    </row>
    <row r="563" ht="60" customHeight="1" s="159">
      <c r="A563" s="175" t="n">
        <v>46554</v>
      </c>
      <c r="B563" s="3" t="inlineStr">
        <is>
          <t>Mercredi</t>
        </is>
      </c>
      <c r="C563" s="8" t="inlineStr">
        <is>
          <t>Vélo</t>
        </is>
      </c>
      <c r="D563" s="5" t="inlineStr">
        <is>
          <t>Vélo clé — 2x20' @ 88% FTP — r=5'</t>
        </is>
      </c>
      <c r="E563" s="3" t="n">
        <v>90</v>
      </c>
      <c r="F563" s="5" t="inlineStr">
        <is>
          <t>Z3</t>
        </is>
      </c>
      <c r="G563" s="3" t="n">
        <v>5</v>
      </c>
      <c r="H563" s="6">
        <f>"35' EF Z2 (127-140 bpm / "&amp;IF(FTP&gt;0,TEXT(ROUND(FTP*60/500,0)*5,"0"),"?")&amp;"-"&amp;IF(FTP&gt;0,TEXT(ROUND(FTP*70/500,0)*5,"0"),"?")&amp;" W"&amp;") | 2x20' @ 88% FTP ("&amp;IF(FTP&gt;0,TEXT(ROUND(FTP*88/500,0)*5,"0"),"?")&amp;" W"&amp;") — r=5'"&amp;CHAR(10)&amp;"Objectif : garder du rythme pendant l'affûtage"&amp;CHAR(10)&amp;"FC bloc cible : ~159 bpm (82% FC max) | Cadence : 87-93 rpm | RPE 7-8/10"&amp;CHAR(10)&amp;"NUTRITION : 90g glucides/h si &gt;90'"&amp;CHAR(10)&amp;"10' RC (127-140 bpm / "&amp;IF(FTP&gt;0,TEXT(ROUND(FTP*60/500,0)*5,"0"),"?")&amp;"-"&amp;IF(FTP&gt;0,TEXT(ROUND(FTP*70/500,0)*5,"0"),"?")&amp;" W"&amp;")"</f>
        <v/>
      </c>
      <c r="I563" s="3" t="n"/>
      <c r="J563" s="3" t="n">
        <v>42</v>
      </c>
      <c r="K563" s="3" t="n"/>
    </row>
    <row r="564" ht="24" customHeight="1" s="159">
      <c r="A564" s="175" t="n">
        <v>46555</v>
      </c>
      <c r="B564" s="3" t="inlineStr">
        <is>
          <t>Jeudi</t>
        </is>
      </c>
      <c r="C564" s="7" t="inlineStr">
        <is>
          <t>Course</t>
        </is>
      </c>
      <c r="D564" s="5" t="inlineStr">
        <is>
          <t>EF Z2</t>
        </is>
      </c>
      <c r="E564" s="3" t="n">
        <v>60</v>
      </c>
      <c r="F564" s="5" t="inlineStr">
        <is>
          <t>Z2</t>
        </is>
      </c>
      <c r="G564" s="3" t="n">
        <v>4</v>
      </c>
      <c r="H564" s="6" t="inlineStr">
        <is>
          <t>60' EF Z2 (127-140 bpm)
Allure facile, cadence naturelle</t>
        </is>
      </c>
      <c r="I564" s="3" t="n">
        <v>9.5</v>
      </c>
      <c r="J564" s="3" t="n"/>
      <c r="K564" s="3" t="n"/>
    </row>
    <row r="565" ht="60" customHeight="1" s="159">
      <c r="A565" s="175" t="n">
        <v>46555</v>
      </c>
      <c r="B565" s="3" t="inlineStr">
        <is>
          <t>Jeudi</t>
        </is>
      </c>
      <c r="C565" s="9" t="inlineStr">
        <is>
          <t>Natation</t>
        </is>
      </c>
      <c r="D565" s="5" t="inlineStr">
        <is>
          <t>Natation récupération</t>
        </is>
      </c>
      <c r="E565" s="3" t="n">
        <v>74</v>
      </c>
      <c r="F565" s="5" t="inlineStr">
        <is>
          <t>-</t>
        </is>
      </c>
      <c r="G565" s="3" t="n">
        <v>2</v>
      </c>
      <c r="H565" s="6" t="inlineStr">
        <is>
          <t>Échauffement : 200 m souple (110-126 bpm)
Série : 22 x 100 m technique, nage relâchée (110-120 bpm) — repos 30 s + 50 m souple
Retour au calme : 50 m souple
Consigne : séance de récupération : relâchement, amplitude, aucune recherche de vitesse
Total : 2500 m</t>
        </is>
      </c>
      <c r="I565" s="3" t="n"/>
      <c r="J565" s="3" t="n"/>
      <c r="K565" s="3" t="n">
        <v>2500</v>
      </c>
    </row>
    <row r="566" ht="24" customHeight="1" s="159">
      <c r="A566" s="175" t="n">
        <v>46556</v>
      </c>
      <c r="B566" s="3" t="inlineStr">
        <is>
          <t>Vendredi</t>
        </is>
      </c>
      <c r="C566" s="7" t="inlineStr">
        <is>
          <t>Course</t>
        </is>
      </c>
      <c r="D566" s="5" t="inlineStr">
        <is>
          <t>EF Z2 — court</t>
        </is>
      </c>
      <c r="E566" s="3" t="n">
        <v>40</v>
      </c>
      <c r="F566" s="5" t="inlineStr">
        <is>
          <t>Z1-Z2</t>
        </is>
      </c>
      <c r="G566" s="3" t="n">
        <v>2</v>
      </c>
      <c r="H566" s="6" t="inlineStr">
        <is>
          <t>40' EF Z1-Z2 (120-135 bpm) — COURT
Vraie récup — pas de strides</t>
        </is>
      </c>
      <c r="I566" s="3" t="n">
        <v>6</v>
      </c>
      <c r="J566" s="3" t="n"/>
      <c r="K566" s="3" t="n"/>
    </row>
    <row r="567" ht="60" customHeight="1" s="159">
      <c r="A567" s="175" t="n">
        <v>46556</v>
      </c>
      <c r="B567" s="3" t="inlineStr">
        <is>
          <t>Vendredi</t>
        </is>
      </c>
      <c r="C567" s="8" t="inlineStr">
        <is>
          <t>Vélo</t>
        </is>
      </c>
      <c r="D567" s="5" t="inlineStr">
        <is>
          <t>Force légère</t>
        </is>
      </c>
      <c r="E567" s="3" t="n">
        <v>60</v>
      </c>
      <c r="F567" s="5" t="inlineStr">
        <is>
          <t>Z2-Z3</t>
        </is>
      </c>
      <c r="G567" s="3" t="n">
        <v>3</v>
      </c>
      <c r="H567" s="6">
        <f>"35' EF (127-140 bpm / "&amp;IF(FTP&gt;0,TEXT(ROUND(FTP*60/500,0)*5,"0"),"?")&amp;"-"&amp;IF(FTP&gt;0,TEXT(ROUND(FTP*70/500,0)*5,"0"),"?")&amp;" W"&amp;") | 3x3' basse cadence (55-62 rpm) @ Z2 ("&amp;IF(FTP&gt;0,TEXT(ROUND(FTP*75/500,0)*5,"0"),"?")&amp;"-"&amp;IF(FTP&gt;0,TEXT(ROUND(FTP*85/500,0)*5,"0"),"?")&amp;" W"&amp;") — r=3'"&amp;CHAR(10)&amp;"Objectif : force musculaire spécifique, économie de pédalage"&amp;CHAR(10)&amp;"FC : 131-155 bpm | RPE 6-7/10"&amp;CHAR(10)&amp;"NUTRITION : 90g glucides/h si &gt;90'"&amp;CHAR(10)&amp;"10' RC (127-140 bpm / "&amp;IF(FTP&gt;0,TEXT(ROUND(FTP*60/500,0)*5,"0"),"?")&amp;"-"&amp;IF(FTP&gt;0,TEXT(ROUND(FTP*70/500,0)*5,"0"),"?")&amp;" W"&amp;")"</f>
        <v/>
      </c>
      <c r="I567" s="3" t="n"/>
      <c r="J567" s="3" t="n">
        <v>28</v>
      </c>
      <c r="K567" s="3" t="n"/>
    </row>
    <row r="568" ht="84" customHeight="1" s="159">
      <c r="A568" s="175" t="n">
        <v>46557</v>
      </c>
      <c r="B568" s="3" t="inlineStr">
        <is>
          <t>Samedi</t>
        </is>
      </c>
      <c r="C568" s="9" t="inlineStr">
        <is>
          <t>Natation</t>
        </is>
      </c>
      <c r="D568" s="5" t="inlineStr">
        <is>
          <t>Natation technique + bloc IM</t>
        </is>
      </c>
      <c r="E568" s="3" t="n">
        <v>83</v>
      </c>
      <c r="F568" s="5" t="inlineStr">
        <is>
          <t>-</t>
        </is>
      </c>
      <c r="G568" s="3" t="n">
        <v>5</v>
      </c>
      <c r="H568" s="6" t="inlineStr">
        <is>
          <t>Échauffement : 4 x 50 m facile (108-117 bpm) — repos 30 s
Éducatifs : 8 x 50 m (catch-up, finger drag, sighting) — repos 30 s
Bloc continu : 1500 m à allure IM, sans arrêt (135-148 bpm, 2:07/100 m) — sighting toutes les 6-8 cycles de bras
Pull buoy : 7 x 100 m (135-148 bpm, 2:04/100 m) — repos 30 s
Retour au calme : 200 m souple (110-126 bpm)
Total : 3000 m</t>
        </is>
      </c>
      <c r="I568" s="3" t="n"/>
      <c r="J568" s="3" t="n"/>
      <c r="K568" s="3" t="n">
        <v>3000</v>
      </c>
    </row>
    <row r="569" ht="36" customHeight="1" s="159">
      <c r="A569" s="175" t="n">
        <v>46557</v>
      </c>
      <c r="B569" s="3" t="inlineStr">
        <is>
          <t>Samedi</t>
        </is>
      </c>
      <c r="C569" s="7" t="inlineStr">
        <is>
          <t>Course</t>
        </is>
      </c>
      <c r="D569" s="5" t="inlineStr">
        <is>
          <t>SORTIE LONGUE Z2 — 75' (12 km)</t>
        </is>
      </c>
      <c r="E569" s="3" t="n">
        <v>75</v>
      </c>
      <c r="F569" s="5" t="inlineStr">
        <is>
          <t>Z2</t>
        </is>
      </c>
      <c r="G569" s="3" t="n">
        <v>6</v>
      </c>
      <c r="H569" s="6" t="inlineStr">
        <is>
          <t>Z2 75' — allure conversationnelle
FC : 127-140 bpm
Affûtage : volume réduit
Gel à 45'</t>
        </is>
      </c>
      <c r="I569" s="3" t="n">
        <v>12</v>
      </c>
      <c r="J569" s="3" t="n"/>
      <c r="K569" s="3" t="n"/>
    </row>
    <row r="570" ht="48" customHeight="1" s="159">
      <c r="A570" s="175" t="n">
        <v>46558</v>
      </c>
      <c r="B570" s="3" t="inlineStr">
        <is>
          <t>Dimanche</t>
        </is>
      </c>
      <c r="C570" s="8" t="inlineStr">
        <is>
          <t>Vélo</t>
        </is>
      </c>
      <c r="D570" s="5" t="inlineStr">
        <is>
          <t>Sortie longue — 120' (56.0 km) — 2x15' allure IM</t>
        </is>
      </c>
      <c r="E570" s="3" t="n">
        <v>120</v>
      </c>
      <c r="F570" s="5" t="inlineStr">
        <is>
          <t>Z2</t>
        </is>
      </c>
      <c r="G570" s="3" t="n">
        <v>6</v>
      </c>
      <c r="H570" s="6">
        <f>"120' Z2 (127-140 bpm / "&amp;IF(FTP&gt;0,TEXT(ROUND(FTP*60/500,0)*5,"0"),"?")&amp;"-"&amp;IF(FTP&gt;0,TEXT(ROUND(FTP*70/500,0)*5,"0"),"?")&amp;" W"&amp;") dont 2x15' allure IM (136-146 bpm / "&amp;IF(FTP&gt;0,TEXT(ROUND(FTP*70/500,0)*5,"0"),"?")&amp;"-"&amp;IF(FTP&gt;0,TEXT(ROUND(FTP*75/500,0)*5,"0"),"?")&amp;" W"&amp;") dans la seconde moitié — r=10' Z2"&amp;CHAR(10)&amp;"Cadence 85-92 rpm"&amp;CHAR(10)&amp;"NUTRITION : 90g glucides/h si &gt;60'"</f>
        <v/>
      </c>
      <c r="I570" s="3" t="n"/>
      <c r="J570" s="3" t="n">
        <v>56</v>
      </c>
      <c r="K570" s="3" t="n"/>
    </row>
    <row r="571" ht="15" customHeight="1" s="159">
      <c r="A571" s="10" t="n"/>
      <c r="B571" s="10" t="n"/>
      <c r="C571" s="10" t="n"/>
      <c r="D571" s="10" t="n"/>
      <c r="E571" s="10" t="n"/>
      <c r="F571" s="10" t="n"/>
      <c r="G571" s="10" t="n"/>
      <c r="H571" s="11" t="inlineStr">
        <is>
          <t>TOTAL SEMAINE</t>
        </is>
      </c>
      <c r="I571" s="10">
        <f>SUM(I560:I570)</f>
        <v/>
      </c>
      <c r="J571" s="10">
        <f>SUM(J560:J570)</f>
        <v/>
      </c>
      <c r="K571" s="10">
        <f>SUM(K560:K570)</f>
        <v/>
      </c>
    </row>
    <row r="572" ht="15" customHeight="1" s="159">
      <c r="A572" s="148" t="inlineStr">
        <is>
          <t xml:space="preserve">  S43 — 21/06/2027 → 27/06/2027   |     COMPETITION — IRONMAN LES SABLES D'OLONNE 27/06</t>
        </is>
      </c>
    </row>
    <row r="573" ht="15" customHeight="1" s="159">
      <c r="A573" s="175" t="n">
        <v>46559</v>
      </c>
      <c r="B573" s="3" t="inlineStr">
        <is>
          <t>Lundi</t>
        </is>
      </c>
      <c r="C573" s="15" t="inlineStr">
        <is>
          <t>Repos</t>
        </is>
      </c>
      <c r="D573" s="5" t="inlineStr">
        <is>
          <t>OFF — arrivée Sables d'Olonne</t>
        </is>
      </c>
      <c r="E573" s="3" t="inlineStr">
        <is>
          <t>-</t>
        </is>
      </c>
      <c r="F573" s="5" t="inlineStr">
        <is>
          <t>-</t>
        </is>
      </c>
      <c r="G573" s="3" t="n">
        <v>1</v>
      </c>
      <c r="H573" s="6" t="inlineStr">
        <is>
          <t>Repos complet — voyage et installation aux Sables d'Olonne</t>
        </is>
      </c>
      <c r="I573" s="3" t="n"/>
      <c r="J573" s="3" t="n"/>
      <c r="K573" s="3" t="n"/>
    </row>
    <row r="574" ht="36" customHeight="1" s="159">
      <c r="A574" s="175" t="n">
        <v>46560</v>
      </c>
      <c r="B574" s="3" t="inlineStr">
        <is>
          <t>Mardi</t>
        </is>
      </c>
      <c r="C574" s="8" t="inlineStr">
        <is>
          <t>Vélo</t>
        </is>
      </c>
      <c r="D574" s="5" t="inlineStr">
        <is>
          <t>Activation — 3x5' allure IM + vérif vélo</t>
        </is>
      </c>
      <c r="E574" s="3" t="n">
        <v>60</v>
      </c>
      <c r="F574" s="5" t="inlineStr">
        <is>
          <t>Z1-Z2</t>
        </is>
      </c>
      <c r="G574" s="3" t="n">
        <v>2</v>
      </c>
      <c r="H574" s="6">
        <f>"36' Z2 (127-140 bpm / "&amp;IF(FTP&gt;0,TEXT(ROUND(FTP*60/500,0)*5,"0"),"?")&amp;"-"&amp;IF(FTP&gt;0,TEXT(ROUND(FTP*70/500,0)*5,"0"),"?")&amp;" W"&amp;") | 3x5' allure IM (136-146 bpm, 70-75% FC max / "&amp;IF(FTP&gt;0,TEXT(ROUND(FTP*70/500,0)*5,"0"),"?")&amp;"-"&amp;IF(FTP&gt;0,TEXT(ROUND(FTP*75/500,0)*5,"0"),"?")&amp;" W"&amp;") — r=3'"&amp;CHAR(10)&amp;"Objectif : activation + vérification matériel (réglages, pression des pneus, ravitaillement de course)"&amp;CHAR(10)&amp;"3' RC (127-140 bpm / "&amp;IF(FTP&gt;0,TEXT(ROUND(FTP*60/500,0)*5,"0"),"?")&amp;"-"&amp;IF(FTP&gt;0,TEXT(ROUND(FTP*70/500,0)*5,"0"),"?")&amp;" W"&amp;")"</f>
        <v/>
      </c>
      <c r="I574" s="3" t="n"/>
      <c r="J574" s="3" t="n">
        <v>28</v>
      </c>
      <c r="K574" s="3" t="n"/>
    </row>
    <row r="575" ht="24" customHeight="1" s="159">
      <c r="A575" s="175" t="n">
        <v>46560</v>
      </c>
      <c r="B575" s="3" t="inlineStr">
        <is>
          <t>Mardi</t>
        </is>
      </c>
      <c r="C575" s="7" t="inlineStr">
        <is>
          <t>Course</t>
        </is>
      </c>
      <c r="D575" s="5" t="inlineStr">
        <is>
          <t>EF + strides</t>
        </is>
      </c>
      <c r="E575" s="3" t="n">
        <v>20</v>
      </c>
      <c r="F575" s="5" t="inlineStr">
        <is>
          <t>Z1-Z2</t>
        </is>
      </c>
      <c r="G575" s="3" t="n">
        <v>2</v>
      </c>
      <c r="H575" s="6" t="inlineStr">
        <is>
          <t>20' EF Z2 (127-140 bpm) | 4x20'' strides en fin
Jambes légères, aucune fatigue</t>
        </is>
      </c>
      <c r="I575" s="3" t="n">
        <v>3</v>
      </c>
      <c r="J575" s="3" t="n"/>
      <c r="K575" s="3" t="n"/>
    </row>
    <row r="576" ht="15" customHeight="1" s="159">
      <c r="A576" s="175" t="n">
        <v>46561</v>
      </c>
      <c r="B576" s="3" t="inlineStr">
        <is>
          <t>Mercredi</t>
        </is>
      </c>
      <c r="C576" s="8" t="inlineStr">
        <is>
          <t>Vélo</t>
        </is>
      </c>
      <c r="D576" s="5" t="inlineStr">
        <is>
          <t>Check matériel + activation</t>
        </is>
      </c>
      <c r="E576" s="3" t="n">
        <v>35</v>
      </c>
      <c r="F576" s="5" t="inlineStr">
        <is>
          <t>Z1-Z2</t>
        </is>
      </c>
      <c r="G576" s="3" t="n">
        <v>2</v>
      </c>
      <c r="H576" s="6">
        <f>"35' Z2 très facile (127-140 bpm / "&amp;IF(FTP&gt;0,TEXT(ROUND(FTP*50/500,0)*5,"0"),"?")&amp;"-"&amp;IF(FTP&gt;0,TEXT(ROUND(FTP*60/500,0)*5,"0"),"?")&amp;" W"&amp;") — activation/vérification matériel"</f>
        <v/>
      </c>
      <c r="I576" s="3" t="n"/>
      <c r="J576" s="3" t="n">
        <v>16</v>
      </c>
      <c r="K576" s="3" t="n"/>
    </row>
    <row r="577" ht="72" customHeight="1" s="159">
      <c r="A577" s="175" t="n">
        <v>46561</v>
      </c>
      <c r="B577" s="3" t="inlineStr">
        <is>
          <t>Mercredi</t>
        </is>
      </c>
      <c r="C577" s="17" t="inlineStr">
        <is>
          <t>Natation</t>
        </is>
      </c>
      <c r="D577" s="5" t="inlineStr">
        <is>
          <t>Natation — 3x300 allure IM (activation)</t>
        </is>
      </c>
      <c r="E577" s="3" t="n">
        <v>45</v>
      </c>
      <c r="F577" s="5" t="inlineStr">
        <is>
          <t>Z1-Z2</t>
        </is>
      </c>
      <c r="G577" s="3" t="n">
        <v>3</v>
      </c>
      <c r="H577" s="6" t="inlineStr">
        <is>
          <t>Échauffement : 300 m souple (110-126 bpm, 2:21/100 m)
Série : 3 x 300 m à allure IM (135-148 bpm, 2:07/100 m) — repos 30 s — sighting toutes les 6-8 cycles de bras
Détente : 4 x 50 m progressif (du souple à l'allure course) — repos 20 s
Retour au calme : 200 m souple — en mer si possible
Total : 1600 m</t>
        </is>
      </c>
      <c r="I577" s="3" t="n"/>
      <c r="J577" s="3" t="n"/>
      <c r="K577" s="3" t="n">
        <v>1600</v>
      </c>
    </row>
    <row r="578" ht="36" customHeight="1" s="159">
      <c r="A578" s="175" t="n">
        <v>46562</v>
      </c>
      <c r="B578" s="3" t="inlineStr">
        <is>
          <t>Jeudi</t>
        </is>
      </c>
      <c r="C578" s="8" t="inlineStr">
        <is>
          <t>Vélo</t>
        </is>
      </c>
      <c r="D578" s="5" t="inlineStr">
        <is>
          <t>Activation — 3x2' allure IM</t>
        </is>
      </c>
      <c r="E578" s="3" t="n">
        <v>45</v>
      </c>
      <c r="F578" s="5" t="inlineStr">
        <is>
          <t>Z1-Z2</t>
        </is>
      </c>
      <c r="G578" s="3" t="n">
        <v>2</v>
      </c>
      <c r="H578" s="6">
        <f>"30' Z2 (127-140 bpm / "&amp;IF(FTP&gt;0,TEXT(ROUND(FTP*60/500,0)*5,"0"),"?")&amp;"-"&amp;IF(FTP&gt;0,TEXT(ROUND(FTP*70/500,0)*5,"0"),"?")&amp;" W"&amp;") | 3x2' allure IM (136-146 bpm, 70-75% FC max / "&amp;IF(FTP&gt;0,TEXT(ROUND(FTP*70/500,0)*5,"0"),"?")&amp;"-"&amp;IF(FTP&gt;0,TEXT(ROUND(FTP*75/500,0)*5,"0"),"?")&amp;" W"&amp;") — r=2'"&amp;CHAR(10)&amp;"Objectif : activation, retrouver les sensations de course"&amp;CHAR(10)&amp;"5' RC (127-140 bpm / "&amp;IF(FTP&gt;0,TEXT(ROUND(FTP*60/500,0)*5,"0"),"?")&amp;"-"&amp;IF(FTP&gt;0,TEXT(ROUND(FTP*70/500,0)*5,"0"),"?")&amp;" W"&amp;")"</f>
        <v/>
      </c>
      <c r="I578" s="3" t="n"/>
      <c r="J578" s="3" t="n">
        <v>21</v>
      </c>
      <c r="K578" s="3" t="n"/>
    </row>
    <row r="579" ht="24" customHeight="1" s="159">
      <c r="A579" s="175" t="n">
        <v>46562</v>
      </c>
      <c r="B579" s="3" t="inlineStr">
        <is>
          <t>Jeudi</t>
        </is>
      </c>
      <c r="C579" s="7" t="inlineStr">
        <is>
          <t>Course</t>
        </is>
      </c>
      <c r="D579" s="5" t="inlineStr">
        <is>
          <t>EF + 3x1' allure IM + visualisation</t>
        </is>
      </c>
      <c r="E579" s="3" t="n">
        <v>25</v>
      </c>
      <c r="F579" s="5" t="inlineStr">
        <is>
          <t>Z1-Z2</t>
        </is>
      </c>
      <c r="G579" s="3" t="n">
        <v>2</v>
      </c>
      <c r="H579" s="6" t="inlineStr">
        <is>
          <t>25' EF Z2 (127-140 bpm) dont 3x1' allure IM (150-155 bpm) — r=2'
Visualisation de la course (transitions, ravitaillement)</t>
        </is>
      </c>
      <c r="I579" s="3" t="n">
        <v>4</v>
      </c>
      <c r="J579" s="3" t="n"/>
      <c r="K579" s="3" t="n"/>
    </row>
    <row r="580" ht="60" customHeight="1" s="159">
      <c r="A580" s="175" t="n">
        <v>46563</v>
      </c>
      <c r="B580" s="3" t="inlineStr">
        <is>
          <t>Vendredi</t>
        </is>
      </c>
      <c r="C580" s="9" t="inlineStr">
        <is>
          <t>Natation</t>
        </is>
      </c>
      <c r="D580" s="5" t="inlineStr">
        <is>
          <t>Activation natation — 1200 m</t>
        </is>
      </c>
      <c r="E580" s="3" t="n">
        <v>30</v>
      </c>
      <c r="F580" s="5" t="inlineStr">
        <is>
          <t>Z1-Z2</t>
        </is>
      </c>
      <c r="G580" s="3" t="n">
        <v>2</v>
      </c>
      <c r="H580" s="6" t="inlineStr">
        <is>
          <t>Échauffement : 300 m souple (110-126 bpm, 2:21/100 m)
Série : 5 x 100 m à allure course (135-148 bpm, 2:07/100 m) — repos 20 s
Détente : 4 x 50 m souple
Retour au calme : 200 m souple — repérage du parcours
Total : 1200 m</t>
        </is>
      </c>
      <c r="I580" s="3" t="n"/>
      <c r="J580" s="3" t="n"/>
      <c r="K580" s="3" t="n">
        <v>1200</v>
      </c>
    </row>
    <row r="581" ht="15" customHeight="1" s="159">
      <c r="A581" s="175" t="n">
        <v>46563</v>
      </c>
      <c r="B581" s="3" t="inlineStr">
        <is>
          <t>Vendredi</t>
        </is>
      </c>
      <c r="C581" s="7" t="inlineStr">
        <is>
          <t>Course</t>
        </is>
      </c>
      <c r="D581" s="5" t="inlineStr">
        <is>
          <t>EF très facile</t>
        </is>
      </c>
      <c r="E581" s="3" t="n">
        <v>15</v>
      </c>
      <c r="F581" s="5" t="inlineStr">
        <is>
          <t>Z1-Z2</t>
        </is>
      </c>
      <c r="G581" s="3" t="n">
        <v>2</v>
      </c>
      <c r="H581" s="6" t="inlineStr">
        <is>
          <t>EF très facile (127-140 bpm)</t>
        </is>
      </c>
      <c r="I581" s="3" t="n">
        <v>2.5</v>
      </c>
      <c r="J581" s="3" t="n"/>
      <c r="K581" s="3" t="n"/>
    </row>
    <row r="582" ht="15" customHeight="1" s="159">
      <c r="A582" s="175" t="n">
        <v>46564</v>
      </c>
      <c r="B582" s="3" t="inlineStr">
        <is>
          <t>Samedi</t>
        </is>
      </c>
      <c r="C582" s="8" t="inlineStr">
        <is>
          <t>Vélo</t>
        </is>
      </c>
      <c r="D582" s="5" t="inlineStr">
        <is>
          <t>Activation finale — dépôt T1</t>
        </is>
      </c>
      <c r="E582" s="3" t="n">
        <v>25</v>
      </c>
      <c r="F582" s="5" t="inlineStr">
        <is>
          <t>Z1-Z2</t>
        </is>
      </c>
      <c r="G582" s="3" t="n">
        <v>2</v>
      </c>
      <c r="H582" s="6">
        <f>"25' Z2 très facile (127-140 bpm / "&amp;IF(FTP&gt;0,TEXT(ROUND(FTP*50/500,0)*5,"0"),"?")&amp;"-"&amp;IF(FTP&gt;0,TEXT(ROUND(FTP*60/500,0)*5,"0"),"?")&amp;" W"&amp;") — activation/vérification matériel"</f>
        <v/>
      </c>
      <c r="I582" s="3" t="n"/>
      <c r="J582" s="3" t="n">
        <v>12</v>
      </c>
      <c r="K582" s="3" t="n"/>
    </row>
    <row r="583" ht="24" customHeight="1" s="159">
      <c r="A583" s="175" t="n">
        <v>46564</v>
      </c>
      <c r="B583" s="3" t="inlineStr">
        <is>
          <t>Samedi</t>
        </is>
      </c>
      <c r="C583" s="7" t="inlineStr">
        <is>
          <t>Course</t>
        </is>
      </c>
      <c r="D583" s="5" t="inlineStr">
        <is>
          <t>Footing 10' + 3 accélérations</t>
        </is>
      </c>
      <c r="E583" s="3" t="n">
        <v>10</v>
      </c>
      <c r="F583" s="5" t="inlineStr">
        <is>
          <t>Z1-Z2</t>
        </is>
      </c>
      <c r="G583" s="3" t="n">
        <v>2</v>
      </c>
      <c r="H583" s="6" t="inlineStr">
        <is>
          <t>10' EF Z2 (127-140 bpm) | 3 accélérations de 15'' à allure course
Après le vélo d'activation</t>
        </is>
      </c>
      <c r="I583" s="3" t="n">
        <v>1.5</v>
      </c>
      <c r="J583" s="3" t="n"/>
      <c r="K583" s="3" t="n"/>
    </row>
    <row r="584" ht="36" customHeight="1" s="159">
      <c r="A584" s="175" t="n">
        <v>46564</v>
      </c>
      <c r="B584" s="3" t="inlineStr">
        <is>
          <t>Samedi</t>
        </is>
      </c>
      <c r="C584" s="9" t="inlineStr">
        <is>
          <t>Natation</t>
        </is>
      </c>
      <c r="D584" s="5" t="inlineStr">
        <is>
          <t>Nage 10' en eau libre</t>
        </is>
      </c>
      <c r="E584" s="3" t="n">
        <v>10</v>
      </c>
      <c r="F584" s="5" t="inlineStr">
        <is>
          <t>Z1-Z2</t>
        </is>
      </c>
      <c r="G584" s="3" t="n">
        <v>2</v>
      </c>
      <c r="H584" s="6" t="inlineStr">
        <is>
          <t>Nage : 400 m souple en combinaison (110-126 bpm), sur le parcours si autorisé
Consigne : repérage des bouées et du sighting toutes les 6-8 cycles de bras
Total : 400 m</t>
        </is>
      </c>
      <c r="I584" s="3" t="n"/>
      <c r="J584" s="3" t="n"/>
      <c r="K584" s="3" t="n">
        <v>400</v>
      </c>
    </row>
    <row r="585" ht="24" customHeight="1" s="159">
      <c r="A585" s="175" t="n">
        <v>46565</v>
      </c>
      <c r="B585" s="13" t="inlineStr">
        <is>
          <t>Dimanche</t>
        </is>
      </c>
      <c r="C585" s="12" t="inlineStr">
        <is>
          <t>Course</t>
        </is>
      </c>
      <c r="D585" s="13" t="inlineStr">
        <is>
          <t>COMPETITION — IRONMAN LES SABLES D'OLONNE</t>
        </is>
      </c>
      <c r="E585" s="13" t="inlineStr">
        <is>
          <t>-</t>
        </is>
      </c>
      <c r="F585" s="13" t="inlineStr">
        <is>
          <t>Z2</t>
        </is>
      </c>
      <c r="G585" s="13" t="n">
        <v>3</v>
      </c>
      <c r="H585" s="16" t="inlineStr">
        <is>
          <t>Jour J — Ironman Les Sables d'Olonne
Natation 3.8 km + Vélo 180 km + Marathon 42.2 km</t>
        </is>
      </c>
      <c r="I585" s="13" t="n">
        <v>42</v>
      </c>
      <c r="J585" s="13" t="n">
        <v>180</v>
      </c>
      <c r="K585" s="13" t="n">
        <v>3800</v>
      </c>
    </row>
    <row r="586" ht="15" customHeight="1" s="159">
      <c r="A586" s="10" t="n"/>
      <c r="B586" s="10" t="n"/>
      <c r="C586" s="10" t="n"/>
      <c r="D586" s="10" t="n"/>
      <c r="E586" s="10" t="n"/>
      <c r="F586" s="10" t="n"/>
      <c r="G586" s="10" t="n"/>
      <c r="H586" s="11" t="inlineStr">
        <is>
          <t>TOTAL SEMAINE</t>
        </is>
      </c>
      <c r="I586" s="10">
        <f>SUM(I573:I585)</f>
        <v/>
      </c>
      <c r="J586" s="10">
        <f>SUM(J573:J585)</f>
        <v/>
      </c>
      <c r="K586" s="10">
        <f>SUM(K573:K585)</f>
        <v/>
      </c>
    </row>
  </sheetData>
  <mergeCells count="43">
    <mergeCell ref="A176:K176"/>
    <mergeCell ref="A288:K288"/>
    <mergeCell ref="A559:K559"/>
    <mergeCell ref="A73:K73"/>
    <mergeCell ref="A49:K49"/>
    <mergeCell ref="A60:K60"/>
    <mergeCell ref="A458:K458"/>
    <mergeCell ref="A502:K502"/>
    <mergeCell ref="A36:K36"/>
    <mergeCell ref="A1:K1"/>
    <mergeCell ref="A370:K370"/>
    <mergeCell ref="A399:K399"/>
    <mergeCell ref="A355:K355"/>
    <mergeCell ref="A124:K124"/>
    <mergeCell ref="A162:K162"/>
    <mergeCell ref="A346:K346"/>
    <mergeCell ref="A516:K516"/>
    <mergeCell ref="A316:K316"/>
    <mergeCell ref="A25:K25"/>
    <mergeCell ref="A429:K429"/>
    <mergeCell ref="A472:K472"/>
    <mergeCell ref="A99:K99"/>
    <mergeCell ref="A137:K137"/>
    <mergeCell ref="A444:K444"/>
    <mergeCell ref="A572:K572"/>
    <mergeCell ref="A531:K531"/>
    <mergeCell ref="A487:K487"/>
    <mergeCell ref="A385:K385"/>
    <mergeCell ref="A86:K86"/>
    <mergeCell ref="A204:K204"/>
    <mergeCell ref="A331:K331"/>
    <mergeCell ref="A150:K150"/>
    <mergeCell ref="A414:K414"/>
    <mergeCell ref="A259:K259"/>
    <mergeCell ref="A303:K303"/>
    <mergeCell ref="A215:K215"/>
    <mergeCell ref="A545:K545"/>
    <mergeCell ref="A244:K244"/>
    <mergeCell ref="A190:K190"/>
    <mergeCell ref="A274:K274"/>
    <mergeCell ref="A13:K13"/>
    <mergeCell ref="A229:K229"/>
    <mergeCell ref="A111:K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zoomScale="40" zoomScaleNormal="40" workbookViewId="0">
      <selection activeCell="A5" sqref="A5"/>
    </sheetView>
  </sheetViews>
  <sheetFormatPr baseColWidth="10" defaultRowHeight="15"/>
  <cols>
    <col width="24.5703125" customWidth="1" style="159" min="1" max="1"/>
    <col width="32.7109375" bestFit="1" customWidth="1" style="159" min="2" max="2"/>
    <col width="29.5703125" customWidth="1" style="159" min="3" max="3"/>
    <col width="20" customWidth="1" style="159" min="4" max="4"/>
    <col width="26.28515625" bestFit="1" customWidth="1" style="159" min="5" max="5"/>
    <col width="21.85546875" customWidth="1" style="159" min="6" max="6"/>
    <col width="21.42578125" customWidth="1" style="159" min="7" max="7"/>
    <col width="28" customWidth="1" style="159" min="8" max="8"/>
    <col width="26.7109375" customWidth="1" style="159" min="9" max="9"/>
    <col width="35.140625" customWidth="1" style="159" min="10" max="10"/>
    <col width="24.85546875" customWidth="1" style="159" min="11" max="11"/>
  </cols>
  <sheetData>
    <row r="1">
      <c r="I1" s="160" t="n"/>
    </row>
    <row r="2">
      <c r="D2" s="161" t="n"/>
    </row>
    <row r="3">
      <c r="B3" t="inlineStr">
        <is>
          <t>Jog Progressif (60' à 80')</t>
        </is>
      </c>
      <c r="C3" t="inlineStr">
        <is>
          <t>30 min - 20 min - 10 min</t>
        </is>
      </c>
      <c r="D3" s="161" t="inlineStr">
        <is>
          <t>8km progressif</t>
        </is>
      </c>
      <c r="E3" t="inlineStr">
        <is>
          <t>5x 3000m</t>
        </is>
      </c>
      <c r="F3" t="inlineStr">
        <is>
          <t>5x 2000m Progressif</t>
        </is>
      </c>
      <c r="G3" t="inlineStr">
        <is>
          <t>3x9' - 5'</t>
        </is>
      </c>
      <c r="H3" t="inlineStr">
        <is>
          <t>5x2km - 1km</t>
        </is>
      </c>
      <c r="I3" t="inlineStr">
        <is>
          <t>5x1km - 1km (lent - rapide)</t>
        </is>
      </c>
      <c r="J3" t="inlineStr">
        <is>
          <t>12' prog - 8x400m - 8x 300m</t>
        </is>
      </c>
      <c r="M3" s="180" t="inlineStr">
        <is>
          <t>FC</t>
        </is>
      </c>
      <c r="N3" s="181" t="n"/>
    </row>
    <row r="4">
      <c r="A4" t="inlineStr">
        <is>
          <t>Type de séances</t>
        </is>
      </c>
      <c r="B4" t="inlineStr">
        <is>
          <t xml:space="preserve">Tempo </t>
        </is>
      </c>
      <c r="C4" t="inlineStr">
        <is>
          <t>Qualité - Marathon</t>
        </is>
      </c>
      <c r="D4" t="inlineStr">
        <is>
          <t>Qualité</t>
        </is>
      </c>
      <c r="E4" t="inlineStr">
        <is>
          <t>Qualité</t>
        </is>
      </c>
      <c r="F4" t="inlineStr">
        <is>
          <t xml:space="preserve">Qualité (Fun) </t>
        </is>
      </c>
      <c r="G4" t="inlineStr">
        <is>
          <t>Qualité</t>
        </is>
      </c>
      <c r="H4" t="inlineStr">
        <is>
          <t xml:space="preserve">Tempo </t>
        </is>
      </c>
      <c r="I4" t="inlineStr">
        <is>
          <t>Qualité - Marathon</t>
        </is>
      </c>
      <c r="M4" s="164">
        <f>+N4*M5/N5</f>
        <v/>
      </c>
      <c r="N4" s="165" t="n">
        <v>0.5</v>
      </c>
    </row>
    <row r="5" ht="60" customFormat="1" customHeight="1" s="166">
      <c r="A5" s="166" t="inlineStr">
        <is>
          <t>Note</t>
        </is>
      </c>
      <c r="B5" s="166" t="inlineStr">
        <is>
          <t>Se rapprocher et etre dans la bas Z3</t>
        </is>
      </c>
      <c r="C5" s="166" t="inlineStr">
        <is>
          <t>Prendre 30g glucide</t>
        </is>
      </c>
      <c r="D5" s="167" t="inlineStr">
        <is>
          <t>SV1 vers SV2</t>
        </is>
      </c>
      <c r="E5" s="166" t="inlineStr">
        <is>
          <t xml:space="preserve">Allure Marathon vers Semi </t>
        </is>
      </c>
      <c r="F5" s="168" t="inlineStr">
        <is>
          <t>Allure Marathon qui augmente avec intervalle d'allure 10km</t>
        </is>
      </c>
      <c r="G5" s="168" t="inlineStr">
        <is>
          <t>Plus rapide d'Allure Marathon puis allure 10km rapide</t>
        </is>
      </c>
      <c r="H5" s="168" t="inlineStr">
        <is>
          <t>Allure Marathon puis allure plus rapide</t>
        </is>
      </c>
      <c r="I5" s="168" t="inlineStr">
        <is>
          <t>Allure Marathon + allure Rapide</t>
        </is>
      </c>
      <c r="J5" s="168" t="inlineStr">
        <is>
          <t>12' progressif vers allure Maratohn puis Allure 10km puis 5km pour les 300m</t>
        </is>
      </c>
      <c r="M5" s="169">
        <f>+N5*M6/N6</f>
        <v/>
      </c>
      <c r="N5" s="170" t="n">
        <v>0.6</v>
      </c>
    </row>
    <row r="6">
      <c r="A6" t="inlineStr">
        <is>
          <t xml:space="preserve">Fc </t>
        </is>
      </c>
      <c r="B6" t="inlineStr">
        <is>
          <t>70 - 80% Fc Max</t>
        </is>
      </c>
      <c r="C6" t="inlineStr">
        <is>
          <t>70 - 85% Fc Max</t>
        </is>
      </c>
      <c r="D6" t="inlineStr">
        <is>
          <t>80 - 90 % Fc Max</t>
        </is>
      </c>
      <c r="E6" t="inlineStr">
        <is>
          <t>83 - 93 % Fc Max</t>
        </is>
      </c>
      <c r="F6" t="inlineStr">
        <is>
          <t>80 - 95 % Fc Max</t>
        </is>
      </c>
      <c r="G6" t="inlineStr">
        <is>
          <t>83 - 87 % Fc Max</t>
        </is>
      </c>
      <c r="H6" t="inlineStr">
        <is>
          <t>80 - 85 % Fc Max</t>
        </is>
      </c>
      <c r="I6" t="inlineStr">
        <is>
          <t>80 - 87 % Fc Max</t>
        </is>
      </c>
      <c r="J6" t="inlineStr">
        <is>
          <t>80 - 87 % Fc Max</t>
        </is>
      </c>
      <c r="M6" s="164">
        <f>+N6*M7/N7</f>
        <v/>
      </c>
      <c r="N6" s="165" t="n">
        <v>0.65</v>
      </c>
    </row>
    <row r="7">
      <c r="A7" t="inlineStr">
        <is>
          <t>Fc Max</t>
        </is>
      </c>
      <c r="B7" t="n">
        <v>155.2</v>
      </c>
      <c r="C7" t="n">
        <v>164.9</v>
      </c>
      <c r="D7" t="n">
        <v>175</v>
      </c>
      <c r="E7" t="n">
        <v>181</v>
      </c>
      <c r="F7" t="n">
        <v>184</v>
      </c>
      <c r="G7" t="n">
        <v>175</v>
      </c>
      <c r="H7" t="n">
        <v>164</v>
      </c>
      <c r="I7" t="n">
        <v>171</v>
      </c>
      <c r="J7" t="n">
        <v>171</v>
      </c>
      <c r="M7" s="171">
        <f>+N7*M8/N8</f>
        <v/>
      </c>
      <c r="N7" s="172" t="n">
        <v>0.7</v>
      </c>
    </row>
    <row r="8" ht="225" customFormat="1" customHeight="1" s="173">
      <c r="A8" s="173" t="inlineStr">
        <is>
          <t>Détail des intervalles</t>
        </is>
      </c>
      <c r="B8" s="173" t="inlineStr">
        <is>
          <t>-</t>
        </is>
      </c>
      <c r="C8" s="174" t="inlineStr">
        <is>
          <t>10' &gt; EF
30' &gt; SV1 
3' &gt; Repos
20' &gt; SV1 + 
3' &gt; Repos
10' &gt; Allure Marathon
10' &gt; EF</t>
        </is>
      </c>
      <c r="D8" s="174" t="inlineStr">
        <is>
          <t>10' &gt; EF
2-4 strides
10' &gt; 80% (155 fc)
10' &gt; 85% (165 fc)
10' &gt; 90% (175 fc)
10' &gt; EF</t>
        </is>
      </c>
      <c r="E8" s="174" t="inlineStr">
        <is>
          <t>10' &gt; EF
2-3 strides
3km &gt; 83% (161 fc)
4' &gt; Repos
3km &gt; 85% (165 fc)
4' &gt; Repos
3km &gt; 87% (171 fc)
4' &gt; Repos
3km &gt; 90% (175 fc)
4' &gt; Repos
3km &gt; 93% (181 fc)
4' &gt; Repos
10' &gt; EF</t>
        </is>
      </c>
      <c r="F8" s="174" t="inlineStr">
        <is>
          <t>10' &gt; EF
400m &gt; 80% (155 fc)
400m &gt; 87% (171 fc)
300m &gt; 80% (155 fc)
300m &gt; 90% (175 fc)
200m &gt;80% (155 fc)
200m &gt; 92% (180 fc)
100m &gt; 80% (155 fc)
100m &gt; 95% (184 fc)
x5 avec 3' de repos entre intervalle
10' &gt; EF</t>
        </is>
      </c>
      <c r="G8" s="174" t="inlineStr">
        <is>
          <t>10' &gt; EF
9' &gt;  83% (161 fc)
1'30 &gt; Repos
5'&gt; 87% (171 fc)
x3 avec 3'30  de repos entre intervalle
10' &gt; EF</t>
        </is>
      </c>
      <c r="H8" s="174" t="inlineStr">
        <is>
          <t>10' &gt; EF
2km &gt;  85% (164 fc)
1km &gt; 80% (155 fc)
x5 sans recup
10' &gt; EF</t>
        </is>
      </c>
      <c r="I8" s="174" t="inlineStr">
        <is>
          <t>10' &gt; EF
1km &gt; 80% (155 fc)
1'15 &gt; Repos
1km &gt; 87% (170  fc)
x5 avec 1'40  de repos entre intervalle 
10' &gt; EF</t>
        </is>
      </c>
      <c r="J8" s="174" t="inlineStr">
        <is>
          <t>5' &gt; EF
12' &gt; EF vers Allure Marathon (155fc)
3' &gt; Repos
400m &gt; 87% (170  fc)
1' &gt; Repos
x8 
300m &gt; 92% (180  fc)
1' &gt; Repos
x8 
10' &gt; EF</t>
        </is>
      </c>
      <c r="M8" s="164">
        <f>+N8*M9/N9</f>
        <v/>
      </c>
      <c r="N8" s="165" t="n">
        <v>0.75</v>
      </c>
    </row>
    <row r="9">
      <c r="M9" s="164">
        <f>+N9*M10/N10</f>
        <v/>
      </c>
      <c r="N9" s="165" t="n">
        <v>0.8</v>
      </c>
    </row>
    <row r="10">
      <c r="M10" s="164">
        <f>+N10*M11/N11</f>
        <v/>
      </c>
      <c r="N10" s="165" t="n">
        <v>0.85</v>
      </c>
    </row>
    <row r="11">
      <c r="M11" s="164">
        <f>+N11*M12/N12</f>
        <v/>
      </c>
      <c r="N11" s="165" t="n">
        <v>0.9</v>
      </c>
    </row>
    <row r="12">
      <c r="M12" s="164">
        <f>+N12*M13/N13</f>
        <v/>
      </c>
      <c r="N12" s="165" t="n">
        <v>0.95</v>
      </c>
    </row>
    <row r="13">
      <c r="M13" s="164" t="n">
        <v>194</v>
      </c>
      <c r="N13" s="165" t="n">
        <v>1</v>
      </c>
    </row>
  </sheetData>
  <mergeCells count="1">
    <mergeCell ref="M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2"/>
  <sheetViews>
    <sheetView topLeftCell="A3" zoomScale="70" zoomScaleNormal="70" workbookViewId="0">
      <pane xSplit="1" topLeftCell="B1" activePane="topRight" state="frozen"/>
      <selection activeCell="A3" sqref="A3"/>
      <selection pane="topRight" activeCell="L18" sqref="L18"/>
    </sheetView>
  </sheetViews>
  <sheetFormatPr baseColWidth="10" defaultColWidth="8.85546875" defaultRowHeight="15"/>
  <cols>
    <col width="37.42578125" customWidth="1" style="18" min="1" max="1"/>
    <col width="19.85546875" customWidth="1" style="18" min="2" max="2"/>
    <col width="45.28515625" customWidth="1" style="18" min="3" max="3"/>
    <col width="29.140625" customWidth="1" style="18" min="4" max="4"/>
    <col width="33.85546875" customWidth="1" style="18" min="5" max="5"/>
    <col width="38.28515625" customWidth="1" style="18" min="6" max="6"/>
    <col width="45" customWidth="1" style="18" min="7" max="7"/>
    <col width="34.140625" customWidth="1" style="18" min="8" max="9"/>
    <col width="17.5703125" customWidth="1" style="18" min="10" max="10"/>
    <col width="24" customWidth="1" style="18" min="11" max="11"/>
    <col width="12.5703125" customWidth="1" style="18" min="12" max="12"/>
    <col width="16.7109375" customWidth="1" style="18" min="13" max="13"/>
    <col width="13.140625" customWidth="1" style="18" min="14" max="14"/>
    <col width="17.85546875" customWidth="1" style="18" min="15" max="15"/>
    <col width="12.85546875" customWidth="1" style="18" min="16" max="16"/>
    <col width="29.28515625" customWidth="1" style="18" min="17" max="17"/>
    <col width="16.7109375" customWidth="1" style="18" min="18" max="18"/>
    <col width="12.85546875" customWidth="1" style="18" min="19" max="19"/>
    <col width="23.5703125" customWidth="1" style="18" min="20" max="20"/>
    <col width="12.5703125" customWidth="1" style="18" min="21" max="21"/>
    <col width="13.140625" customWidth="1" style="18" min="22" max="22"/>
    <col width="15.140625" customWidth="1" style="18" min="23" max="23"/>
    <col width="12.5703125" customWidth="1" style="18" min="24" max="24"/>
    <col width="16.7109375" customWidth="1" style="18" min="25" max="25"/>
    <col width="17.85546875" customWidth="1" style="18" min="26" max="26"/>
    <col width="12.85546875" customWidth="1" style="18" min="27" max="28"/>
    <col width="13.42578125" customWidth="1" style="18" min="29" max="29"/>
    <col width="12.85546875" customWidth="1" style="18" min="30" max="30"/>
    <col width="13.7109375" customWidth="1" style="18" min="31" max="31"/>
    <col width="12.85546875" customWidth="1" style="18" min="32" max="32"/>
    <col width="8.85546875" customWidth="1" style="18" min="33" max="36"/>
    <col width="12" customWidth="1" style="18" min="37" max="37"/>
    <col width="8.85546875" customWidth="1" style="18" min="38" max="16384"/>
  </cols>
  <sheetData>
    <row r="1" ht="15" customHeight="1" s="15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</row>
    <row r="2" ht="15" customHeight="1" s="159">
      <c r="A2" s="19" t="n"/>
      <c r="B2" s="20" t="inlineStr">
        <is>
          <t>Nutrition</t>
        </is>
      </c>
      <c r="C2" s="21" t="inlineStr">
        <is>
          <t>Option 1</t>
        </is>
      </c>
      <c r="D2" s="21" t="inlineStr">
        <is>
          <t>Option 2</t>
        </is>
      </c>
      <c r="E2" s="21" t="inlineStr">
        <is>
          <t>Option 3</t>
        </is>
      </c>
      <c r="F2" s="21" t="inlineStr">
        <is>
          <t>Option 4</t>
        </is>
      </c>
      <c r="G2" s="21" t="inlineStr">
        <is>
          <t>Option 5</t>
        </is>
      </c>
      <c r="H2" s="21" t="inlineStr">
        <is>
          <t>Option 6</t>
        </is>
      </c>
      <c r="I2" s="22" t="n"/>
      <c r="J2" s="19" t="n"/>
      <c r="K2" s="19" t="n"/>
      <c r="L2" s="19" t="n"/>
      <c r="M2" s="19" t="n"/>
    </row>
    <row r="3" ht="30" customFormat="1" customHeight="1" s="27">
      <c r="A3" s="23" t="n"/>
      <c r="B3" s="24" t="inlineStr">
        <is>
          <t>Premier repas</t>
        </is>
      </c>
      <c r="C3" s="25" t="inlineStr">
        <is>
          <t>Quinoa avec poulet grillé, poivrons, courgettes, carottes et une banane</t>
        </is>
      </c>
      <c r="D3" s="25" t="inlineStr">
        <is>
          <t>Omelette aux légumes avec pain complet et une pomme</t>
        </is>
      </c>
      <c r="E3" s="25" t="inlineStr">
        <is>
          <t>Riz brun avec des légumes sautés, œufs brouillés et une orange</t>
        </is>
      </c>
      <c r="F3" s="25" t="inlineStr">
        <is>
          <t>Pâtes complètes avec sauce tomate, boulettes de viande et salade verte</t>
        </is>
      </c>
      <c r="G3" s="25" t="inlineStr">
        <is>
          <t>Burger maison avec pain complet, viande maigre, salade et avocat</t>
        </is>
      </c>
      <c r="H3" s="25" t="inlineStr">
        <is>
          <t>Pâtes complètes avec sauce tomate, boulettes de viande et salade verte</t>
        </is>
      </c>
      <c r="I3" s="26" t="n"/>
      <c r="J3" s="23" t="n"/>
      <c r="K3" s="23" t="n"/>
      <c r="L3" s="23" t="n"/>
      <c r="M3" s="23" t="n"/>
    </row>
    <row r="4" ht="45" customFormat="1" customHeight="1" s="27">
      <c r="A4" s="23" t="n"/>
      <c r="B4" s="28" t="inlineStr">
        <is>
          <t>Dîner</t>
        </is>
      </c>
      <c r="C4" s="25" t="inlineStr">
        <is>
          <t>Saumon grillé avec patate douce et légumes verts à la vapeur, salade verte légère</t>
        </is>
      </c>
      <c r="D4" s="25" t="inlineStr">
        <is>
          <t>Poulet rôti avec purée de patate douce et haricots verts, salade d'avocat</t>
        </is>
      </c>
      <c r="E4" s="25" t="inlineStr">
        <is>
          <t>Dinde rôtie avec pommes de terre rôties et salade de concombre</t>
        </is>
      </c>
      <c r="F4" s="25" t="inlineStr">
        <is>
          <t>Bœuf maigre avec riz brun et légumes rôtis, yaourt grec avec fruits rouges</t>
        </is>
      </c>
      <c r="G4" s="25" t="inlineStr">
        <is>
          <t>Poisson blanc grillé avec quinoa et légumes sautés, et une poire</t>
        </is>
      </c>
      <c r="H4" s="25" t="inlineStr">
        <is>
          <t>Agneau grillé avec couscous et légumes rôtis, et une salade de fruits</t>
        </is>
      </c>
      <c r="I4" s="26" t="n"/>
      <c r="J4" s="23" t="n"/>
      <c r="K4" s="23" t="n"/>
      <c r="L4" s="23" t="n"/>
      <c r="M4" s="23" t="n"/>
    </row>
    <row r="5" ht="30.75" customHeight="1" s="159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W5" s="29" t="inlineStr">
        <is>
          <t>Commande Oméga 3</t>
        </is>
      </c>
    </row>
    <row r="6" ht="29.25" customHeight="1" s="159">
      <c r="A6" s="19" t="n"/>
      <c r="B6" s="19" t="n"/>
      <c r="C6" s="30" t="inlineStr">
        <is>
          <t>Matin</t>
        </is>
      </c>
      <c r="D6" s="31" t="inlineStr">
        <is>
          <t>Soir</t>
        </is>
      </c>
      <c r="E6" s="32" t="inlineStr">
        <is>
          <t>Matin</t>
        </is>
      </c>
      <c r="F6" s="31" t="inlineStr">
        <is>
          <t>Soir</t>
        </is>
      </c>
      <c r="G6" s="33" t="inlineStr">
        <is>
          <t>Matin</t>
        </is>
      </c>
      <c r="H6" s="33" t="inlineStr">
        <is>
          <t>Matin</t>
        </is>
      </c>
      <c r="J6" s="19" t="n"/>
      <c r="K6" s="19" t="n"/>
      <c r="L6" s="19" t="n"/>
      <c r="M6" s="34" t="n"/>
      <c r="S6" s="182" t="n"/>
      <c r="W6" s="36" t="inlineStr">
        <is>
          <t>Commande Zing</t>
        </is>
      </c>
      <c r="X6" s="183" t="n"/>
    </row>
    <row r="7" ht="33.75" customHeight="1" s="159">
      <c r="B7" s="38" t="inlineStr">
        <is>
          <t>Type</t>
        </is>
      </c>
      <c r="C7" s="184" t="inlineStr">
        <is>
          <t>Omega 3</t>
        </is>
      </c>
      <c r="D7" s="185" t="inlineStr">
        <is>
          <t>Zing bisglycinate</t>
        </is>
      </c>
      <c r="E7" s="186" t="inlineStr">
        <is>
          <t>Multivitamin</t>
        </is>
      </c>
      <c r="F7" s="187" t="inlineStr">
        <is>
          <t>Magnesium</t>
        </is>
      </c>
      <c r="G7" s="188" t="inlineStr">
        <is>
          <t>Whey althetic</t>
        </is>
      </c>
      <c r="H7" s="189" t="inlineStr">
        <is>
          <t>Café</t>
        </is>
      </c>
      <c r="I7" s="45" t="n"/>
      <c r="J7" s="19" t="n"/>
      <c r="K7" s="19" t="n"/>
      <c r="L7" s="46" t="inlineStr">
        <is>
          <t>Commande Magnesium</t>
        </is>
      </c>
      <c r="M7" s="34" t="n"/>
      <c r="N7" s="27" t="n"/>
      <c r="O7" s="27" t="n"/>
      <c r="R7" s="27" t="n"/>
      <c r="S7" s="27" t="n"/>
      <c r="U7" s="190" t="n"/>
      <c r="V7" s="189" t="inlineStr">
        <is>
          <t>Commande de café</t>
        </is>
      </c>
      <c r="W7" s="46" t="inlineStr">
        <is>
          <t>Commande Magnesium</t>
        </is>
      </c>
    </row>
    <row r="8" ht="30" customHeight="1" s="159">
      <c r="B8" s="38" t="inlineStr">
        <is>
          <t>Fournisseur</t>
        </is>
      </c>
      <c r="C8" s="191" t="inlineStr">
        <is>
          <t>Nutripure</t>
        </is>
      </c>
      <c r="D8" s="192" t="inlineStr">
        <is>
          <t>Greenwhey</t>
        </is>
      </c>
      <c r="E8" s="193" t="inlineStr">
        <is>
          <t>nutrimuscle</t>
        </is>
      </c>
      <c r="F8" s="194" t="inlineStr">
        <is>
          <t>Yam nutrition</t>
        </is>
      </c>
      <c r="G8" s="195" t="inlineStr">
        <is>
          <t>Raptor</t>
        </is>
      </c>
      <c r="H8" s="196" t="inlineStr">
        <is>
          <t>Raptor</t>
        </is>
      </c>
      <c r="I8" s="45" t="n"/>
      <c r="L8" s="197" t="inlineStr">
        <is>
          <t>Commande multiV</t>
        </is>
      </c>
      <c r="N8" s="55" t="inlineStr">
        <is>
          <t>Commande Whey</t>
        </is>
      </c>
      <c r="O8" s="27" t="n"/>
      <c r="R8" s="27" t="n"/>
      <c r="V8" s="55" t="inlineStr">
        <is>
          <t>Commande Whey</t>
        </is>
      </c>
      <c r="W8" s="197" t="inlineStr">
        <is>
          <t>Commande multiV</t>
        </is>
      </c>
    </row>
    <row r="9" ht="15.75" customHeight="1" s="159">
      <c r="A9" s="21" t="inlineStr">
        <is>
          <t>Gellule dans le pack</t>
        </is>
      </c>
      <c r="B9" s="56" t="n"/>
      <c r="C9" s="57" t="n">
        <v>600</v>
      </c>
      <c r="D9" s="58">
        <f>90*4</f>
        <v/>
      </c>
      <c r="E9" s="58">
        <f>2*180</f>
        <v/>
      </c>
      <c r="F9" s="58">
        <f>180*2</f>
        <v/>
      </c>
      <c r="G9" s="57">
        <f>360*3</f>
        <v/>
      </c>
      <c r="H9" s="57">
        <f>150*3*2</f>
        <v/>
      </c>
      <c r="I9" s="45" t="n"/>
      <c r="J9" s="19" t="n"/>
      <c r="K9" s="198" t="n">
        <v>46023</v>
      </c>
      <c r="L9" s="199" t="n">
        <v>46054</v>
      </c>
      <c r="M9" s="199" t="n">
        <v>46082</v>
      </c>
      <c r="N9" s="199" t="n">
        <v>46113</v>
      </c>
      <c r="O9" s="199" t="n">
        <v>46143</v>
      </c>
      <c r="P9" s="199" t="n">
        <v>46174</v>
      </c>
      <c r="Q9" s="199" t="n">
        <v>46204</v>
      </c>
      <c r="R9" s="199" t="n">
        <v>46235</v>
      </c>
      <c r="S9" s="199" t="n">
        <v>46266</v>
      </c>
      <c r="T9" s="199" t="n">
        <v>46296</v>
      </c>
      <c r="U9" s="199" t="n">
        <v>46327</v>
      </c>
      <c r="V9" s="199" t="n">
        <v>46357</v>
      </c>
      <c r="W9" s="199" t="n">
        <v>46388</v>
      </c>
      <c r="X9" s="199" t="n">
        <v>46419</v>
      </c>
      <c r="Y9" s="199" t="n">
        <v>46447</v>
      </c>
      <c r="Z9" s="199" t="n">
        <v>46478</v>
      </c>
      <c r="AA9" s="199" t="n">
        <v>46508</v>
      </c>
      <c r="AB9" s="200" t="n">
        <v>46539</v>
      </c>
      <c r="AC9" s="200" t="n">
        <v>46569</v>
      </c>
      <c r="AD9" s="200" t="n">
        <v>46600</v>
      </c>
      <c r="AE9" s="200" t="n">
        <v>46631</v>
      </c>
      <c r="AF9" s="200" t="n">
        <v>46661</v>
      </c>
    </row>
    <row r="10" ht="15.75" customHeight="1" s="159">
      <c r="A10" s="21" t="inlineStr">
        <is>
          <t>Gellule ou g / jour</t>
        </is>
      </c>
      <c r="B10" s="62" t="n"/>
      <c r="C10" s="58" t="n">
        <v>2</v>
      </c>
      <c r="D10" s="58" t="n">
        <v>1</v>
      </c>
      <c r="E10" s="58" t="n">
        <v>2</v>
      </c>
      <c r="F10" s="58" t="n">
        <v>2</v>
      </c>
      <c r="G10" s="57" t="n">
        <v>12</v>
      </c>
      <c r="H10" s="57" t="n">
        <v>5</v>
      </c>
      <c r="I10" s="45" t="n"/>
      <c r="J10" s="63" t="inlineStr">
        <is>
          <t>Omega 3</t>
        </is>
      </c>
      <c r="K10" s="29" t="n"/>
      <c r="L10" s="29" t="n"/>
      <c r="M10" s="29" t="n"/>
      <c r="N10" s="29" t="n"/>
      <c r="O10" s="29" t="n"/>
      <c r="P10" s="29" t="n"/>
      <c r="Q10" s="29" t="n"/>
      <c r="R10" s="18" t="inlineStr">
        <is>
          <t>PAUSE</t>
        </is>
      </c>
      <c r="S10" s="29" t="n"/>
      <c r="T10" s="29" t="n"/>
      <c r="U10" s="29" t="n"/>
      <c r="V10" s="201" t="n">
        <v>46405</v>
      </c>
      <c r="W10" s="29" t="n"/>
      <c r="X10" s="29" t="n"/>
      <c r="Y10" s="29" t="n"/>
      <c r="Z10" s="29" t="n"/>
      <c r="AA10" s="29" t="n"/>
      <c r="AB10" s="29" t="n"/>
      <c r="AC10" s="29" t="n"/>
      <c r="AD10" s="201" t="n"/>
    </row>
    <row r="11" ht="15.75" customHeight="1" s="159">
      <c r="A11" s="21" t="inlineStr">
        <is>
          <t>Prix</t>
        </is>
      </c>
      <c r="B11" s="202">
        <f>SUM(C11:G11)</f>
        <v/>
      </c>
      <c r="C11" s="202">
        <f>280/4</f>
        <v/>
      </c>
      <c r="D11" s="202" t="n"/>
      <c r="E11" s="202">
        <f>280/4</f>
        <v/>
      </c>
      <c r="F11" s="202">
        <f>280/4</f>
        <v/>
      </c>
      <c r="G11" s="203">
        <f>179.97*0.9</f>
        <v/>
      </c>
      <c r="H11" s="203">
        <f>125</f>
        <v/>
      </c>
      <c r="I11" s="45" t="n"/>
      <c r="J11" s="67" t="inlineStr">
        <is>
          <t>Zing bisglycinate</t>
        </is>
      </c>
      <c r="K11" s="68" t="n"/>
      <c r="L11" s="69" t="n"/>
      <c r="M11" s="69" t="n"/>
      <c r="N11" s="69" t="n"/>
      <c r="O11" s="69" t="n"/>
      <c r="P11" s="204" t="n"/>
      <c r="Q11" s="204" t="n"/>
      <c r="R11" s="18" t="inlineStr">
        <is>
          <t>PAUSE</t>
        </is>
      </c>
      <c r="S11" s="204" t="n"/>
      <c r="T11" s="204" t="n"/>
      <c r="U11" s="204" t="n"/>
      <c r="V11" s="69" t="n"/>
      <c r="W11" s="205" t="n">
        <v>46405</v>
      </c>
      <c r="X11" s="69" t="n"/>
      <c r="Y11" s="69" t="n"/>
      <c r="Z11" s="69" t="n"/>
      <c r="AA11" s="69" t="n"/>
      <c r="AB11" s="69" t="n"/>
      <c r="AC11" s="69" t="n"/>
      <c r="AD11" s="205" t="n"/>
      <c r="AF11" s="206" t="n"/>
      <c r="AG11" s="206" t="n"/>
    </row>
    <row r="12" ht="15.75" customHeight="1" s="159">
      <c r="A12" s="21" t="inlineStr">
        <is>
          <t>Jours</t>
        </is>
      </c>
      <c r="B12" s="56" t="n"/>
      <c r="C12" s="73">
        <f>C9/C10</f>
        <v/>
      </c>
      <c r="D12" s="73">
        <f>D9/D10</f>
        <v/>
      </c>
      <c r="E12" s="73">
        <f>E9/E10</f>
        <v/>
      </c>
      <c r="F12" s="73">
        <f>F9/F10</f>
        <v/>
      </c>
      <c r="G12" s="58">
        <f>G9/G10</f>
        <v/>
      </c>
      <c r="H12" s="58">
        <f>H9/H10</f>
        <v/>
      </c>
      <c r="I12" s="45" t="n"/>
      <c r="J12" s="67" t="inlineStr">
        <is>
          <t>Multivitamin</t>
        </is>
      </c>
      <c r="K12" s="74" t="n"/>
      <c r="L12" s="75" t="n"/>
      <c r="M12" s="75" t="n"/>
      <c r="N12" s="75" t="n"/>
      <c r="O12" s="75" t="n"/>
      <c r="P12" s="75" t="n"/>
      <c r="Q12" s="75" t="n"/>
      <c r="R12" s="18" t="inlineStr">
        <is>
          <t>PAUSE</t>
        </is>
      </c>
      <c r="S12" s="75" t="n"/>
      <c r="T12" s="75" t="n"/>
      <c r="U12" s="75" t="n"/>
      <c r="V12" s="75" t="n"/>
      <c r="W12" s="207" t="n">
        <v>46405</v>
      </c>
      <c r="X12" s="75" t="n"/>
      <c r="Y12" s="75" t="n"/>
      <c r="Z12" s="75" t="n"/>
      <c r="AA12" s="75" t="n"/>
      <c r="AB12" s="75" t="n"/>
      <c r="AC12" s="75" t="n"/>
      <c r="AD12" s="207" t="n"/>
    </row>
    <row r="13" ht="15.75" customHeight="1" s="159">
      <c r="A13" s="21" t="inlineStr">
        <is>
          <t>Mois</t>
        </is>
      </c>
      <c r="B13" s="56" t="n"/>
      <c r="C13" s="58">
        <f>C12/30</f>
        <v/>
      </c>
      <c r="D13" s="58">
        <f>D12/30</f>
        <v/>
      </c>
      <c r="E13" s="58">
        <f>E12/30</f>
        <v/>
      </c>
      <c r="F13" s="58">
        <f>F12/30</f>
        <v/>
      </c>
      <c r="G13" s="58">
        <f>G12/4/4</f>
        <v/>
      </c>
      <c r="H13" s="58">
        <f>H12/5/4</f>
        <v/>
      </c>
      <c r="I13" s="45" t="n"/>
      <c r="J13" s="67" t="inlineStr">
        <is>
          <t>Magnesium</t>
        </is>
      </c>
      <c r="K13" s="77" t="n"/>
      <c r="L13" s="77" t="n"/>
      <c r="M13" s="77" t="n"/>
      <c r="N13" s="77" t="n"/>
      <c r="O13" s="77" t="n"/>
      <c r="P13" s="77" t="n"/>
      <c r="Q13" s="77" t="n"/>
      <c r="R13" s="18" t="inlineStr">
        <is>
          <t>PAUSE</t>
        </is>
      </c>
      <c r="S13" s="77" t="n"/>
      <c r="T13" s="77" t="n"/>
      <c r="U13" s="77" t="n"/>
      <c r="V13" s="77" t="n"/>
      <c r="W13" s="208" t="n">
        <v>46405</v>
      </c>
      <c r="X13" s="77" t="n"/>
      <c r="Y13" s="77" t="n"/>
      <c r="Z13" s="77" t="n"/>
      <c r="AA13" s="77" t="n"/>
      <c r="AB13" s="77" t="n"/>
      <c r="AC13" s="77" t="n"/>
      <c r="AD13" s="208" t="n"/>
    </row>
    <row r="14" ht="15.75" customHeight="1" s="159">
      <c r="A14" s="21" t="inlineStr">
        <is>
          <t>Prix de la gellule</t>
        </is>
      </c>
      <c r="B14" s="203">
        <f>+SUM(C14:G14)</f>
        <v/>
      </c>
      <c r="C14" s="58">
        <f>(C10*C11)/C9</f>
        <v/>
      </c>
      <c r="D14" s="58">
        <f>(D10*D11)/D9</f>
        <v/>
      </c>
      <c r="E14" s="58">
        <f>(E10*E11)/E9</f>
        <v/>
      </c>
      <c r="F14" s="58">
        <f>(F10*F11)/F9</f>
        <v/>
      </c>
      <c r="G14" s="58">
        <f>(G10*G11)/G9</f>
        <v/>
      </c>
      <c r="H14" s="58">
        <f>(H10*H11)/H9</f>
        <v/>
      </c>
      <c r="J14" s="79" t="inlineStr">
        <is>
          <t>Whey althetic</t>
        </is>
      </c>
      <c r="K14" s="80" t="n"/>
      <c r="L14" s="80" t="n"/>
      <c r="M14" s="80" t="n"/>
      <c r="N14" s="80" t="n"/>
      <c r="O14" s="80" t="n"/>
      <c r="P14" s="80" t="n"/>
      <c r="Q14" s="80" t="n"/>
      <c r="R14" s="18" t="inlineStr">
        <is>
          <t>PAUSE</t>
        </is>
      </c>
      <c r="S14" s="80" t="n"/>
      <c r="T14" s="80" t="n"/>
      <c r="U14" s="80" t="n"/>
      <c r="V14" s="209" t="n">
        <v>46363</v>
      </c>
      <c r="W14" s="82" t="n"/>
      <c r="X14" s="82" t="n"/>
      <c r="Y14" s="82" t="n"/>
      <c r="Z14" s="82" t="n"/>
      <c r="AA14" s="82" t="n"/>
      <c r="AB14" s="82" t="n"/>
      <c r="AC14" s="82" t="n"/>
      <c r="AD14" s="82" t="n"/>
    </row>
    <row r="15" ht="15.75" customHeight="1" s="159">
      <c r="A15" s="21" t="inlineStr">
        <is>
          <t>Prix pas mois</t>
        </is>
      </c>
      <c r="B15" s="203">
        <f>+SUM(C15:G15)</f>
        <v/>
      </c>
      <c r="C15" s="210">
        <f>C11/C13</f>
        <v/>
      </c>
      <c r="D15" s="210">
        <f>D11/D13</f>
        <v/>
      </c>
      <c r="E15" s="210">
        <f>E11/E13</f>
        <v/>
      </c>
      <c r="F15" s="210">
        <f>F11/F13</f>
        <v/>
      </c>
      <c r="G15" s="210">
        <f>G11/G13</f>
        <v/>
      </c>
      <c r="H15" s="210">
        <f>H11/H13</f>
        <v/>
      </c>
      <c r="J15" s="84" t="inlineStr">
        <is>
          <t>Café Raptor</t>
        </is>
      </c>
      <c r="K15" s="85" t="n"/>
      <c r="L15" s="86" t="n"/>
      <c r="M15" s="86" t="n"/>
      <c r="N15" s="86" t="n"/>
      <c r="O15" s="86" t="n"/>
      <c r="P15" s="86" t="n"/>
      <c r="Q15" s="211" t="n"/>
      <c r="R15" s="18" t="inlineStr">
        <is>
          <t>PAUSE</t>
        </is>
      </c>
      <c r="S15" s="86" t="n"/>
      <c r="T15" s="86" t="n"/>
      <c r="U15" s="86" t="n"/>
      <c r="V15" s="86" t="n"/>
      <c r="W15" s="212" t="n">
        <v>46405</v>
      </c>
      <c r="X15" s="86" t="n"/>
      <c r="Y15" s="86" t="n"/>
      <c r="Z15" s="86" t="n"/>
      <c r="AA15" s="86" t="n"/>
      <c r="AB15" s="86" t="n"/>
      <c r="AC15" s="86" t="n"/>
      <c r="AD15" s="212" t="n"/>
    </row>
    <row r="16" ht="15.75" customHeight="1" s="159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89" t="inlineStr">
        <is>
          <t>Début</t>
        </is>
      </c>
      <c r="K16" s="213">
        <f>G11+279.37+H11</f>
        <v/>
      </c>
      <c r="L16" s="183" t="inlineStr">
        <is>
          <t xml:space="preserve">151,23 </t>
        </is>
      </c>
      <c r="N16" s="206">
        <f>129</f>
        <v/>
      </c>
      <c r="V16" s="214">
        <f>H11+G11</f>
        <v/>
      </c>
      <c r="W16" s="206">
        <f>SUM(C11:F11)</f>
        <v/>
      </c>
      <c r="AF16" s="206" t="n"/>
    </row>
    <row r="17" ht="15.75" customHeight="1" s="159">
      <c r="A17" s="92" t="n"/>
      <c r="B17" s="92" t="n"/>
      <c r="C17" s="19" t="n"/>
      <c r="D17" s="19" t="n"/>
      <c r="E17" s="19" t="n"/>
      <c r="F17" s="19" t="n"/>
      <c r="G17" s="19" t="n"/>
      <c r="H17" s="19" t="n"/>
      <c r="I17" s="19" t="n"/>
      <c r="J17" s="19" t="n"/>
    </row>
    <row r="18" ht="15.75" customHeight="1" s="159">
      <c r="A18" s="93" t="inlineStr">
        <is>
          <t>Nutriment</t>
        </is>
      </c>
      <c r="B18" s="94" t="inlineStr">
        <is>
          <t>Total</t>
        </is>
      </c>
      <c r="C18" s="215" t="inlineStr">
        <is>
          <t>Omega 3</t>
        </is>
      </c>
      <c r="D18" s="216" t="inlineStr">
        <is>
          <t>Zing bisglycinate</t>
        </is>
      </c>
      <c r="E18" s="217" t="inlineStr">
        <is>
          <t>Multivitamin</t>
        </is>
      </c>
      <c r="F18" s="218" t="inlineStr">
        <is>
          <t>Magnesium</t>
        </is>
      </c>
      <c r="G18" s="219" t="inlineStr">
        <is>
          <t>Whey RAPTOR</t>
        </is>
      </c>
      <c r="H18" s="100" t="inlineStr">
        <is>
          <t>Café</t>
        </is>
      </c>
      <c r="I18" s="45" t="n"/>
      <c r="K18" s="101" t="inlineStr">
        <is>
          <t xml:space="preserve">Total pendant 18 mois : </t>
        </is>
      </c>
      <c r="L18" s="220">
        <f>SUM(K16:AD16)</f>
        <v/>
      </c>
    </row>
    <row r="19" ht="15" customHeight="1" s="159">
      <c r="A19" s="103" t="inlineStr">
        <is>
          <t>Calories</t>
        </is>
      </c>
      <c r="B19" s="221">
        <f>SUM(C19:H19)</f>
        <v/>
      </c>
      <c r="C19" s="105" t="n"/>
      <c r="D19" s="106" t="n"/>
      <c r="E19" s="106" t="n"/>
      <c r="F19" s="106" t="n"/>
      <c r="G19" s="222" t="n">
        <v>31</v>
      </c>
      <c r="H19" s="223" t="n"/>
      <c r="I19" s="222" t="n"/>
      <c r="K19" s="18" t="inlineStr">
        <is>
          <t xml:space="preserve">dont </t>
        </is>
      </c>
      <c r="L19" s="183">
        <f>+G11*4</f>
        <v/>
      </c>
      <c r="M19" s="18" t="inlineStr">
        <is>
          <t>de whey raptor</t>
        </is>
      </c>
    </row>
    <row r="20" ht="15" customHeight="1" s="159">
      <c r="A20" s="109" t="inlineStr">
        <is>
          <t>Glucides</t>
        </is>
      </c>
      <c r="B20" s="224">
        <f>SUM(C20:H20)</f>
        <v/>
      </c>
      <c r="C20" s="105" t="n"/>
      <c r="D20" s="106" t="n"/>
      <c r="E20" s="106" t="n"/>
      <c r="F20" s="106" t="n"/>
      <c r="G20" s="225" t="n">
        <v>7.6</v>
      </c>
      <c r="H20" s="226" t="n"/>
      <c r="I20" s="225" t="n"/>
      <c r="K20" s="18" t="inlineStr">
        <is>
          <t xml:space="preserve">soit </t>
        </is>
      </c>
      <c r="L20" s="214">
        <f>L18-L19</f>
        <v/>
      </c>
      <c r="M20" s="18" t="inlineStr">
        <is>
          <t>en nutriment</t>
        </is>
      </c>
    </row>
    <row r="21" ht="15" customHeight="1" s="159">
      <c r="A21" s="109" t="inlineStr">
        <is>
          <t>Bêta-alanine</t>
        </is>
      </c>
      <c r="B21" s="227">
        <f>SUM(C21:G21)</f>
        <v/>
      </c>
      <c r="C21" s="105" t="n"/>
      <c r="D21" s="106" t="n"/>
      <c r="E21" s="106" t="n"/>
      <c r="F21" s="106" t="n"/>
      <c r="G21" s="228" t="n">
        <v>3200</v>
      </c>
      <c r="H21" s="115" t="n"/>
      <c r="I21" s="45" t="n"/>
      <c r="J21" s="34" t="n"/>
    </row>
    <row r="22" ht="15" customHeight="1" s="159">
      <c r="A22" s="109" t="inlineStr">
        <is>
          <t>Vinitrox</t>
        </is>
      </c>
      <c r="B22" s="227">
        <f>SUM(C22:G22)</f>
        <v/>
      </c>
      <c r="C22" s="105" t="n"/>
      <c r="D22" s="106" t="n"/>
      <c r="E22" s="106" t="n"/>
      <c r="F22" s="106" t="n"/>
      <c r="G22" s="228" t="n">
        <v>500</v>
      </c>
      <c r="H22" s="115" t="n"/>
      <c r="I22" s="45" t="n"/>
      <c r="J22" s="34" t="n"/>
    </row>
    <row r="23" ht="15" customHeight="1" s="159">
      <c r="A23" s="109" t="inlineStr">
        <is>
          <t>Graine de guarana-paullinia cupana</t>
        </is>
      </c>
      <c r="B23" s="227">
        <f>SUM(C23:G23)</f>
        <v/>
      </c>
      <c r="C23" s="105" t="n"/>
      <c r="D23" s="106" t="n"/>
      <c r="E23" s="106" t="n"/>
      <c r="F23" s="106" t="n"/>
      <c r="G23" s="228" t="n">
        <v>1800</v>
      </c>
      <c r="H23" s="115" t="n"/>
      <c r="I23" s="45" t="n"/>
      <c r="J23" s="34" t="n"/>
    </row>
    <row r="24" ht="30" customHeight="1" s="159">
      <c r="A24" s="109" t="inlineStr">
        <is>
          <t>Feuille de damiana-turnera aphrodisiaca</t>
        </is>
      </c>
      <c r="B24" s="227">
        <f>SUM(C24:G24)</f>
        <v/>
      </c>
      <c r="C24" s="105" t="n"/>
      <c r="D24" s="106" t="n"/>
      <c r="E24" s="106" t="n"/>
      <c r="F24" s="106" t="n"/>
      <c r="G24" s="228" t="n">
        <v>800</v>
      </c>
      <c r="H24" s="115" t="n"/>
      <c r="I24" s="45" t="n"/>
      <c r="J24" s="34" t="n"/>
    </row>
    <row r="25" ht="30" customHeight="1" s="159">
      <c r="A25" s="109" t="inlineStr">
        <is>
          <t>plante sèche de racine d'éleuthérocoque</t>
        </is>
      </c>
      <c r="B25" s="227">
        <f>SUM(C25:G25)</f>
        <v/>
      </c>
      <c r="C25" s="105" t="n"/>
      <c r="D25" s="106" t="n"/>
      <c r="E25" s="106" t="n"/>
      <c r="F25" s="106" t="n"/>
      <c r="G25" s="228" t="n">
        <v>1000</v>
      </c>
      <c r="H25" s="115" t="n"/>
      <c r="I25" s="45" t="n"/>
      <c r="J25" s="34" t="n"/>
    </row>
    <row r="26" ht="30" customHeight="1" s="159">
      <c r="A26" s="109" t="inlineStr">
        <is>
          <t>Extrait de micellium de cordyceps sinensis</t>
        </is>
      </c>
      <c r="B26" s="227">
        <f>SUM(C26:G26)</f>
        <v/>
      </c>
      <c r="C26" s="105" t="n"/>
      <c r="D26" s="106" t="n"/>
      <c r="E26" s="106" t="n"/>
      <c r="G26" s="229" t="n">
        <v>460</v>
      </c>
      <c r="H26" s="115" t="n"/>
      <c r="I26" s="45" t="n"/>
      <c r="J26" s="34" t="n"/>
      <c r="R26" s="190" t="n"/>
    </row>
    <row r="27" ht="15" customHeight="1" s="159">
      <c r="A27" s="109" t="inlineStr">
        <is>
          <t>Taurine</t>
        </is>
      </c>
      <c r="B27" s="230">
        <f>SUM(C27:G27)</f>
        <v/>
      </c>
      <c r="C27" s="105" t="n"/>
      <c r="D27" s="106" t="n"/>
      <c r="E27" s="106" t="n"/>
      <c r="F27" s="229" t="n">
        <v>300</v>
      </c>
      <c r="G27" s="106" t="n"/>
      <c r="H27" s="115" t="n"/>
      <c r="I27" s="45" t="n"/>
      <c r="J27" s="34" t="n"/>
      <c r="R27" s="190" t="n"/>
    </row>
    <row r="28" ht="15" customHeight="1" s="159">
      <c r="A28" s="109" t="inlineStr">
        <is>
          <t>Cafeine</t>
        </is>
      </c>
      <c r="B28" s="230">
        <f>SUM(C28:H28)</f>
        <v/>
      </c>
      <c r="C28" s="105" t="n"/>
      <c r="D28" s="106" t="n"/>
      <c r="E28" s="106" t="n"/>
      <c r="F28" s="229" t="n"/>
      <c r="G28" s="229" t="n">
        <v>75</v>
      </c>
      <c r="H28" s="231" t="n">
        <v>80</v>
      </c>
      <c r="I28" s="229" t="n"/>
      <c r="J28" s="34" t="n"/>
      <c r="R28" s="190" t="n"/>
    </row>
    <row r="29" ht="15" customHeight="1" s="159">
      <c r="A29" s="109" t="inlineStr">
        <is>
          <t>L-Théanine</t>
        </is>
      </c>
      <c r="B29" s="230">
        <f>SUM(C29:H29)</f>
        <v/>
      </c>
      <c r="C29" s="105" t="n"/>
      <c r="D29" s="106" t="n"/>
      <c r="E29" s="106" t="n"/>
      <c r="F29" s="229" t="n"/>
      <c r="G29" s="229" t="n"/>
      <c r="H29" s="231" t="n">
        <v>160</v>
      </c>
      <c r="I29" s="229" t="n"/>
      <c r="J29" s="34" t="n"/>
      <c r="O29" s="119" t="n"/>
      <c r="R29" s="190" t="n"/>
    </row>
    <row r="30" ht="15" customHeight="1" s="159">
      <c r="A30" s="109" t="inlineStr">
        <is>
          <t>Magnésium</t>
        </is>
      </c>
      <c r="B30" s="227">
        <f>SUM(C30:H30)</f>
        <v/>
      </c>
      <c r="C30" s="105" t="n"/>
      <c r="D30" s="106" t="n"/>
      <c r="E30" s="229" t="n">
        <v>120</v>
      </c>
      <c r="F30" s="229" t="n">
        <v>240</v>
      </c>
      <c r="G30" s="106" t="n"/>
      <c r="H30" s="232" t="n"/>
      <c r="I30" s="228" t="n"/>
      <c r="J30" s="34" t="n"/>
      <c r="R30" s="190" t="n"/>
    </row>
    <row r="31" ht="15" customHeight="1" s="159">
      <c r="A31" s="109" t="inlineStr">
        <is>
          <t>Vitamine B6</t>
        </is>
      </c>
      <c r="B31" s="230">
        <f>SUM(C31:G31)</f>
        <v/>
      </c>
      <c r="C31" s="105" t="n"/>
      <c r="D31" s="233" t="n"/>
      <c r="E31" s="229" t="n">
        <v>1.77</v>
      </c>
      <c r="F31" s="229" t="n">
        <v>1</v>
      </c>
      <c r="G31" s="229" t="n"/>
      <c r="H31" s="232" t="n"/>
      <c r="I31" s="228" t="n"/>
      <c r="J31" s="19" t="n"/>
    </row>
    <row r="32" ht="15" customHeight="1" s="159">
      <c r="A32" s="109" t="inlineStr">
        <is>
          <t>Zinc</t>
        </is>
      </c>
      <c r="B32" s="230">
        <f>SUM(C32:G32)</f>
        <v/>
      </c>
      <c r="C32" s="105" t="n"/>
      <c r="D32" s="233" t="n">
        <v>15</v>
      </c>
      <c r="E32" s="233" t="n">
        <v>10</v>
      </c>
      <c r="F32" s="106" t="n"/>
      <c r="G32" s="106" t="n"/>
      <c r="H32" s="232" t="n"/>
      <c r="I32" s="228" t="n"/>
      <c r="J32" s="19" t="n"/>
    </row>
    <row r="33" ht="15" customHeight="1" s="159">
      <c r="A33" s="109" t="inlineStr">
        <is>
          <t>Sélénium</t>
        </is>
      </c>
      <c r="B33" s="234">
        <f>SUM(C33:G33)</f>
        <v/>
      </c>
      <c r="C33" s="105" t="n"/>
      <c r="D33" s="235" t="n"/>
      <c r="E33" s="235" t="n">
        <v>32.5</v>
      </c>
      <c r="F33" s="106" t="n"/>
      <c r="G33" s="106" t="n"/>
      <c r="H33" s="236" t="n"/>
      <c r="I33" s="235" t="n"/>
      <c r="J33" s="19" t="n"/>
    </row>
    <row r="34" ht="15" customHeight="1" s="159">
      <c r="A34" s="109" t="inlineStr">
        <is>
          <t>Potassium</t>
        </is>
      </c>
      <c r="B34" s="230">
        <f>SUM(C34:H34)</f>
        <v/>
      </c>
      <c r="C34" s="105" t="n"/>
      <c r="D34" s="235" t="n"/>
      <c r="E34" s="106" t="n"/>
      <c r="F34" s="106" t="n"/>
      <c r="G34" s="106" t="n"/>
      <c r="H34" s="237" t="n"/>
      <c r="I34" s="233" t="n"/>
      <c r="J34" s="19" t="n"/>
    </row>
    <row r="35" ht="15" customHeight="1" s="159">
      <c r="A35" s="109" t="inlineStr">
        <is>
          <t>Huile de poisson | Fish oil</t>
        </is>
      </c>
      <c r="B35" s="230">
        <f>SUM(C35:H35)</f>
        <v/>
      </c>
      <c r="C35" s="238" t="n">
        <v>1600</v>
      </c>
      <c r="D35" s="106" t="n"/>
      <c r="E35" s="106" t="n"/>
      <c r="F35" s="106" t="n"/>
      <c r="G35" s="106" t="n"/>
      <c r="H35" s="237" t="n"/>
      <c r="I35" s="233" t="n"/>
      <c r="J35" s="19" t="n"/>
    </row>
    <row r="36" ht="15" customHeight="1" s="159">
      <c r="A36" s="109" t="inlineStr">
        <is>
          <t>dont EPA*</t>
        </is>
      </c>
      <c r="B36" s="230">
        <f>SUM(C36:H36)</f>
        <v/>
      </c>
      <c r="C36" s="238" t="n">
        <v>840</v>
      </c>
      <c r="D36" s="106" t="n"/>
      <c r="E36" s="106" t="n"/>
      <c r="F36" s="106" t="n"/>
      <c r="G36" s="106" t="n"/>
      <c r="H36" s="127" t="n"/>
      <c r="I36" s="106" t="n"/>
      <c r="J36" s="19" t="n"/>
    </row>
    <row r="37" ht="15" customHeight="1" s="159">
      <c r="A37" s="109" t="inlineStr">
        <is>
          <t>dont DHA**</t>
        </is>
      </c>
      <c r="B37" s="230">
        <f>SUM(C37:H37)</f>
        <v/>
      </c>
      <c r="C37" s="238" t="n">
        <v>600</v>
      </c>
      <c r="D37" s="106" t="n"/>
      <c r="E37" s="106" t="n"/>
      <c r="F37" s="106" t="n"/>
      <c r="G37" s="106" t="n"/>
      <c r="H37" s="127" t="n"/>
      <c r="I37" s="106" t="n"/>
      <c r="J37" s="19" t="n"/>
    </row>
    <row r="38" ht="15" customHeight="1" s="159">
      <c r="A38" s="109" t="inlineStr">
        <is>
          <t>Vitamine A</t>
        </is>
      </c>
      <c r="B38" s="239">
        <f>SUM(C38:H38)</f>
        <v/>
      </c>
      <c r="C38" s="105" t="n"/>
      <c r="D38" s="106" t="n"/>
      <c r="E38" s="240" t="n">
        <v>200</v>
      </c>
      <c r="F38" s="130" t="n"/>
      <c r="G38" s="130" t="n"/>
      <c r="H38" s="241" t="n"/>
      <c r="I38" s="233" t="n"/>
      <c r="J38" s="19" t="n"/>
      <c r="K38" s="19" t="n"/>
      <c r="L38" s="19" t="n"/>
      <c r="M38" s="34" t="n"/>
    </row>
    <row r="39" ht="15" customHeight="1" s="159">
      <c r="A39" s="109" t="inlineStr">
        <is>
          <t>Vitamine B1</t>
        </is>
      </c>
      <c r="B39" s="230">
        <f>SUM(C39:H39)</f>
        <v/>
      </c>
      <c r="C39" s="105" t="n"/>
      <c r="D39" s="106" t="n"/>
      <c r="E39" s="233" t="n">
        <v>2</v>
      </c>
      <c r="F39" s="130" t="n"/>
      <c r="G39" s="130" t="n"/>
      <c r="H39" s="237" t="n"/>
      <c r="I39" s="233" t="n"/>
      <c r="J39" s="34" t="n"/>
      <c r="K39" s="19" t="n"/>
      <c r="L39" s="19" t="n"/>
      <c r="M39" s="34" t="n"/>
    </row>
    <row r="40" ht="15" customHeight="1" s="159">
      <c r="A40" s="109" t="inlineStr">
        <is>
          <t>Vitamine B12</t>
        </is>
      </c>
      <c r="B40" s="239">
        <f>SUM(C40:H40)</f>
        <v/>
      </c>
      <c r="C40" s="105" t="n"/>
      <c r="D40" s="106" t="n"/>
      <c r="E40" s="240" t="n">
        <v>5</v>
      </c>
      <c r="F40" s="130" t="n"/>
      <c r="G40" s="130" t="n"/>
      <c r="H40" s="241" t="n"/>
      <c r="I40" s="233" t="n"/>
      <c r="K40" s="34" t="n"/>
      <c r="L40" s="34" t="n"/>
      <c r="M40" s="34" t="n"/>
    </row>
    <row r="41" ht="15" customHeight="1" s="159">
      <c r="A41" s="109" t="inlineStr">
        <is>
          <t>Vitamine B2</t>
        </is>
      </c>
      <c r="B41" s="230">
        <f>SUM(C41:H41)</f>
        <v/>
      </c>
      <c r="C41" s="105" t="n"/>
      <c r="D41" s="106" t="n"/>
      <c r="E41" s="233" t="n">
        <v>1.82</v>
      </c>
      <c r="F41" s="130" t="n"/>
      <c r="G41" s="130" t="n"/>
      <c r="H41" s="237" t="n"/>
      <c r="I41" s="233" t="n"/>
      <c r="K41" s="34" t="n"/>
      <c r="L41" s="34" t="n"/>
      <c r="M41" s="34" t="n"/>
    </row>
    <row r="42" ht="15" customHeight="1" s="159">
      <c r="A42" s="109" t="inlineStr">
        <is>
          <t>Vitamine B3</t>
        </is>
      </c>
      <c r="B42" s="230">
        <f>SUM(C42:H42)</f>
        <v/>
      </c>
      <c r="C42" s="105" t="n"/>
      <c r="D42" s="106" t="n"/>
      <c r="E42" s="233" t="n">
        <v>18</v>
      </c>
      <c r="F42" s="130" t="n"/>
      <c r="G42" s="130" t="n"/>
      <c r="H42" s="237" t="n"/>
      <c r="I42" s="233" t="n"/>
      <c r="K42" s="34" t="n"/>
      <c r="L42" s="34" t="n"/>
      <c r="M42" s="34" t="n"/>
    </row>
    <row r="43" ht="15" customHeight="1" s="159">
      <c r="A43" s="109" t="inlineStr">
        <is>
          <t>Vitamine B5</t>
        </is>
      </c>
      <c r="B43" s="230">
        <f>SUM(C43:H43)</f>
        <v/>
      </c>
      <c r="C43" s="105" t="n"/>
      <c r="D43" s="106" t="n"/>
      <c r="E43" s="233" t="n">
        <v>8</v>
      </c>
      <c r="F43" s="130" t="n"/>
      <c r="G43" s="130" t="n"/>
      <c r="H43" s="237" t="n"/>
      <c r="I43" s="233" t="n"/>
      <c r="K43" s="34" t="n"/>
      <c r="L43" s="34" t="n"/>
      <c r="M43" s="34" t="n"/>
    </row>
    <row r="44" ht="15" customHeight="1" s="159">
      <c r="A44" s="109" t="inlineStr">
        <is>
          <t>Vitamine B8</t>
        </is>
      </c>
      <c r="B44" s="239">
        <f>SUM(C44:H44)</f>
        <v/>
      </c>
      <c r="C44" s="105" t="n"/>
      <c r="D44" s="106" t="n"/>
      <c r="E44" s="240" t="n">
        <v>150</v>
      </c>
      <c r="F44" s="130" t="n"/>
      <c r="G44" s="130" t="n"/>
      <c r="H44" s="241" t="n"/>
      <c r="I44" s="240" t="n"/>
      <c r="K44" s="34" t="n"/>
      <c r="L44" s="34" t="n"/>
      <c r="M44" s="34" t="n"/>
    </row>
    <row r="45" ht="15" customHeight="1" s="159">
      <c r="A45" s="109" t="inlineStr">
        <is>
          <t>Vitamine B9</t>
        </is>
      </c>
      <c r="B45" s="239">
        <f>SUM(C45:H45)</f>
        <v/>
      </c>
      <c r="C45" s="105" t="n"/>
      <c r="D45" s="106" t="n"/>
      <c r="E45" s="240" t="n">
        <v>200</v>
      </c>
      <c r="F45" s="130" t="n"/>
      <c r="G45" s="130" t="n"/>
      <c r="H45" s="241" t="n"/>
      <c r="I45" s="240" t="n"/>
      <c r="K45" s="34" t="n"/>
      <c r="L45" s="34" t="n"/>
      <c r="M45" s="34" t="n"/>
    </row>
    <row r="46" ht="15" customHeight="1" s="159">
      <c r="A46" s="109" t="inlineStr">
        <is>
          <t>Vitamine C</t>
        </is>
      </c>
      <c r="B46" s="230">
        <f>SUM(C46:H46)</f>
        <v/>
      </c>
      <c r="C46" s="105" t="n"/>
      <c r="D46" s="106" t="n"/>
      <c r="E46" s="233" t="n">
        <v>216</v>
      </c>
      <c r="F46" s="130" t="n"/>
      <c r="G46" s="130" t="n"/>
      <c r="H46" s="237" t="n"/>
      <c r="I46" s="240" t="n"/>
      <c r="K46" s="34" t="n"/>
      <c r="L46" s="34" t="n"/>
      <c r="M46" s="34" t="n"/>
    </row>
    <row r="47" ht="15" customHeight="1" s="159">
      <c r="A47" s="109" t="inlineStr">
        <is>
          <t>Vitamine D3</t>
        </is>
      </c>
      <c r="B47" s="239">
        <f>SUM(C47:H47)</f>
        <v/>
      </c>
      <c r="C47" s="105" t="n"/>
      <c r="D47" s="106" t="n"/>
      <c r="E47" s="240" t="n">
        <v>25</v>
      </c>
      <c r="F47" s="130" t="n"/>
      <c r="G47" s="130" t="n"/>
      <c r="H47" s="241" t="n"/>
      <c r="I47" s="240" t="n"/>
      <c r="K47" s="34" t="n"/>
      <c r="L47" s="34" t="n"/>
      <c r="M47" s="34" t="n"/>
    </row>
    <row r="48" ht="15" customHeight="1" s="159">
      <c r="A48" s="109" t="inlineStr">
        <is>
          <t>Vitamine E</t>
        </is>
      </c>
      <c r="B48" s="239">
        <f>SUM(C48:H48)</f>
        <v/>
      </c>
      <c r="C48" s="105" t="n"/>
      <c r="D48" s="106" t="n"/>
      <c r="E48" s="233" t="n">
        <v>12</v>
      </c>
      <c r="F48" s="130" t="n"/>
      <c r="G48" s="130" t="n"/>
      <c r="H48" s="237" t="n"/>
      <c r="I48" s="240" t="n"/>
      <c r="K48" s="34" t="n"/>
      <c r="L48" s="34" t="n"/>
      <c r="M48" s="34" t="n"/>
    </row>
    <row r="49" ht="15" customHeight="1" s="159">
      <c r="A49" s="109" t="inlineStr">
        <is>
          <t>Vitamine K1</t>
        </is>
      </c>
      <c r="B49" s="239">
        <f>SUM(C49:H49)</f>
        <v/>
      </c>
      <c r="C49" s="105" t="n"/>
      <c r="D49" s="106" t="n"/>
      <c r="E49" s="240" t="n"/>
      <c r="F49" s="130" t="n"/>
      <c r="G49" s="130" t="n"/>
      <c r="H49" s="241" t="n"/>
      <c r="I49" s="240" t="n"/>
      <c r="K49" s="19" t="n"/>
      <c r="L49" s="34" t="n"/>
      <c r="M49" s="34" t="n"/>
    </row>
    <row r="50" ht="15" customHeight="1" s="159">
      <c r="A50" s="109" t="inlineStr">
        <is>
          <t>Vitamine K2-MK7</t>
        </is>
      </c>
      <c r="B50" s="230">
        <f>SUM(C50:H50)</f>
        <v/>
      </c>
      <c r="C50" s="105" t="n"/>
      <c r="D50" s="106" t="n"/>
      <c r="E50" s="240" t="n"/>
      <c r="F50" s="130" t="n"/>
      <c r="G50" s="130" t="n"/>
      <c r="H50" s="241" t="n"/>
      <c r="I50" s="240" t="n"/>
      <c r="K50" s="19" t="n"/>
      <c r="L50" s="19" t="n"/>
      <c r="M50" s="19" t="n"/>
    </row>
    <row r="51" ht="15" customHeight="1" s="159">
      <c r="A51" s="109" t="inlineStr">
        <is>
          <t>N-acétyl-cystéine</t>
        </is>
      </c>
      <c r="B51" s="230" t="inlineStr">
        <is>
          <t>100 mg</t>
        </is>
      </c>
      <c r="C51" s="105" t="n"/>
      <c r="D51" s="106" t="n"/>
      <c r="E51" s="233" t="inlineStr">
        <is>
          <t>100 mg</t>
        </is>
      </c>
      <c r="F51" s="130" t="n"/>
      <c r="G51" s="130" t="n"/>
      <c r="H51" s="241" t="n"/>
      <c r="I51" s="240" t="n"/>
      <c r="K51" s="19" t="n"/>
      <c r="L51" s="19" t="n"/>
      <c r="M51" s="19" t="n"/>
    </row>
    <row r="52" ht="15" customHeight="1" s="159">
      <c r="A52" s="109" t="inlineStr">
        <is>
          <t>Quercétine</t>
        </is>
      </c>
      <c r="B52" s="230" t="inlineStr">
        <is>
          <t>50 mg</t>
        </is>
      </c>
      <c r="C52" s="105" t="n"/>
      <c r="E52" s="233" t="inlineStr">
        <is>
          <t>50 mg</t>
        </is>
      </c>
      <c r="H52" s="132" t="n"/>
      <c r="K52" s="19" t="n"/>
      <c r="L52" s="19" t="n"/>
      <c r="M52" s="19" t="n"/>
    </row>
    <row r="53" ht="15" customHeight="1" s="159">
      <c r="A53" s="109" t="inlineStr">
        <is>
          <t>Coenzyme Q10</t>
        </is>
      </c>
      <c r="B53" s="230" t="inlineStr">
        <is>
          <t>32 mg</t>
        </is>
      </c>
      <c r="C53" s="105" t="n"/>
      <c r="E53" s="233" t="inlineStr">
        <is>
          <t>32 mg</t>
        </is>
      </c>
      <c r="H53" s="132" t="n"/>
      <c r="K53" s="19" t="n"/>
      <c r="L53" s="19" t="n"/>
      <c r="M53" s="19" t="n"/>
    </row>
    <row r="54" ht="15.75" customHeight="1" s="159">
      <c r="A54" s="133" t="inlineStr">
        <is>
          <t>Lutéine</t>
        </is>
      </c>
      <c r="B54" s="242" t="inlineStr">
        <is>
          <t>13,5 mg</t>
        </is>
      </c>
      <c r="C54" s="135" t="n"/>
      <c r="D54" s="136" t="n"/>
      <c r="E54" s="243" t="inlineStr">
        <is>
          <t>13,5 mg</t>
        </is>
      </c>
      <c r="F54" s="136" t="n"/>
      <c r="G54" s="136" t="n"/>
      <c r="H54" s="138" t="n"/>
      <c r="K54" s="19" t="n"/>
      <c r="L54" s="19" t="n"/>
      <c r="M54" s="19" t="n"/>
    </row>
    <row r="55" ht="15" customHeight="1" s="159">
      <c r="C55" s="19" t="n"/>
      <c r="D55" s="19" t="n"/>
      <c r="E55" s="19" t="n"/>
      <c r="K55" s="19" t="n"/>
      <c r="L55" s="19" t="n"/>
      <c r="M55" s="19" t="n"/>
    </row>
    <row r="56" ht="15" customHeight="1" s="159">
      <c r="C56" s="19" t="n"/>
      <c r="D56" s="19" t="n"/>
      <c r="E56" s="19" t="n"/>
      <c r="K56" s="19" t="n"/>
      <c r="L56" s="19" t="n"/>
      <c r="M56" s="19" t="n"/>
    </row>
    <row r="57" ht="15" customHeight="1" s="159">
      <c r="C57" s="19" t="n"/>
      <c r="D57" s="19" t="n"/>
      <c r="E57" s="19" t="n"/>
      <c r="K57" s="19" t="n"/>
      <c r="L57" s="19" t="n"/>
      <c r="M57" s="19" t="n"/>
    </row>
    <row r="58" ht="15" customHeight="1" s="159">
      <c r="C58" s="19" t="n"/>
      <c r="D58" s="19" t="n"/>
      <c r="E58" s="19" t="n"/>
      <c r="F58" s="19" t="n"/>
    </row>
    <row r="59" ht="15" customHeight="1" s="159">
      <c r="C59" s="19" t="n"/>
      <c r="D59" s="19" t="n"/>
      <c r="E59" s="19" t="n"/>
      <c r="F59" s="19" t="n"/>
    </row>
    <row r="60" ht="15" customHeight="1" s="159">
      <c r="C60" s="19" t="n"/>
      <c r="D60" s="19" t="n"/>
      <c r="E60" s="19" t="n"/>
      <c r="F60" s="19" t="n"/>
      <c r="G60" s="19" t="n"/>
    </row>
    <row r="66" ht="15" customHeight="1" s="159">
      <c r="B66" s="244" t="n"/>
    </row>
    <row r="68" ht="15" customHeight="1" s="159">
      <c r="B68" s="245" t="n"/>
    </row>
    <row r="70" ht="15" customHeight="1" s="159">
      <c r="B70" s="245" t="n"/>
    </row>
    <row r="72" ht="15" customHeight="1" s="159">
      <c r="B72" s="246" t="n"/>
    </row>
  </sheetData>
  <pageMargins left="0.700694444444445" right="0.700694444444445" top="0.752083333333333" bottom="0.752083333333333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zoomScaleNormal="100" workbookViewId="0">
      <selection activeCell="L53" sqref="L53"/>
    </sheetView>
  </sheetViews>
  <sheetFormatPr baseColWidth="10" defaultColWidth="8.7109375" defaultRowHeight="15"/>
  <cols>
    <col width="26" customWidth="1" style="159" min="1" max="1"/>
    <col width="16" customWidth="1" style="159" min="2" max="2"/>
    <col width="24" customWidth="1" style="159" min="3" max="3"/>
    <col width="22" customWidth="1" style="159" min="4" max="4"/>
    <col width="20" customWidth="1" style="159" min="5" max="5"/>
    <col width="16" customWidth="1" style="159" min="6" max="6"/>
    <col width="18" customWidth="1" style="159" min="7" max="7"/>
  </cols>
  <sheetData>
    <row r="1" ht="27.75" customHeight="1" s="159">
      <c r="A1" s="158" t="inlineStr">
        <is>
          <t>Repères natation — zones, allures et abréviations</t>
        </is>
      </c>
    </row>
    <row r="3" ht="27.75" customHeight="1" s="159">
      <c r="A3" s="158" t="inlineStr">
        <is>
          <t>Zones de fréquence cardiaque (FC max 194)</t>
        </is>
      </c>
    </row>
    <row r="4" ht="15" customHeight="1" s="159">
      <c r="A4" s="143" t="inlineStr">
        <is>
          <t>Zone</t>
        </is>
      </c>
      <c r="B4" s="143" t="inlineStr">
        <is>
          <t>bpm</t>
        </is>
      </c>
      <c r="C4" s="143" t="inlineStr">
        <is>
          <t>Usage</t>
        </is>
      </c>
    </row>
    <row r="5" ht="27.75" customHeight="1" s="159">
      <c r="A5" s="168" t="inlineStr">
        <is>
          <t>Technique / éducatifs</t>
        </is>
      </c>
      <c r="B5" s="168" t="inlineStr">
        <is>
          <t>108-117</t>
        </is>
      </c>
      <c r="C5" s="168" t="inlineStr">
        <is>
          <t>échauffement facile, éducatifs</t>
        </is>
      </c>
    </row>
    <row r="6" ht="27.75" customHeight="1" s="159">
      <c r="A6" s="168" t="inlineStr">
        <is>
          <t>Souple / EF</t>
        </is>
      </c>
      <c r="B6" s="168" t="inlineStr">
        <is>
          <t>110-126</t>
        </is>
      </c>
      <c r="C6" s="168" t="inlineStr">
        <is>
          <t>échauffement, retour au calme</t>
        </is>
      </c>
    </row>
    <row r="7" ht="27.75" customHeight="1" s="159">
      <c r="A7" s="168" t="inlineStr">
        <is>
          <t>Récupération / activation</t>
        </is>
      </c>
      <c r="B7" s="168" t="inlineStr">
        <is>
          <t>110-120</t>
        </is>
      </c>
      <c r="C7" s="168" t="inlineStr">
        <is>
          <t>séances de récup, veille de course</t>
        </is>
      </c>
    </row>
    <row r="8" ht="27.75" customHeight="1" s="159">
      <c r="A8" s="168" t="inlineStr">
        <is>
          <t>Allure IM et soutenu</t>
        </is>
      </c>
      <c r="B8" s="168" t="inlineStr">
        <is>
          <t>135-148</t>
        </is>
      </c>
      <c r="C8" s="168" t="inlineStr">
        <is>
          <t>bloc continu, séries de 200-300 m, pull buoy</t>
        </is>
      </c>
    </row>
    <row r="9" ht="27.75" customHeight="1" s="159">
      <c r="A9" s="168" t="inlineStr">
        <is>
          <t>Seuil (CSS)</t>
        </is>
      </c>
      <c r="B9" s="168" t="inlineStr">
        <is>
          <t>150-160</t>
        </is>
      </c>
      <c r="C9" s="168" t="inlineStr">
        <is>
          <t>séries de 100 m, 1 jeudi sur 3 environ</t>
        </is>
      </c>
    </row>
    <row r="11" ht="41.25" customHeight="1" s="159">
      <c r="A11" s="158" t="inlineStr">
        <is>
          <t>Progression de l'allure (min/100 m) — CSS prévue puis allures dérivées</t>
        </is>
      </c>
    </row>
    <row r="12" ht="15" customHeight="1" s="159">
      <c r="A12" s="143" t="inlineStr">
        <is>
          <t>Phase</t>
        </is>
      </c>
      <c r="B12" s="143" t="inlineStr">
        <is>
          <t>Semaines</t>
        </is>
      </c>
      <c r="C12" s="143" t="inlineStr">
        <is>
          <t>CSS</t>
        </is>
      </c>
      <c r="D12" s="143" t="inlineStr">
        <is>
          <t>Allure IM (CSS+6 s)</t>
        </is>
      </c>
      <c r="E12" s="143" t="inlineStr">
        <is>
          <t>Soutenu (CSS+3 s)</t>
        </is>
      </c>
      <c r="F12" s="143" t="inlineStr">
        <is>
          <t>Seuil (= CSS)</t>
        </is>
      </c>
      <c r="G12" s="143" t="inlineStr">
        <is>
          <t>Souple (CSS+20 s)</t>
        </is>
      </c>
    </row>
    <row r="13" ht="15" customHeight="1" s="159">
      <c r="A13" s="168" t="inlineStr">
        <is>
          <t>1 — Base</t>
        </is>
      </c>
      <c r="B13" s="168" t="inlineStr">
        <is>
          <t>S05-S10</t>
        </is>
      </c>
      <c r="C13" s="168" t="inlineStr">
        <is>
          <t>2:09</t>
        </is>
      </c>
      <c r="D13" s="168" t="inlineStr">
        <is>
          <t>2:15</t>
        </is>
      </c>
      <c r="E13" s="168" t="inlineStr">
        <is>
          <t>2:12</t>
        </is>
      </c>
      <c r="F13" s="168" t="inlineStr">
        <is>
          <t>2:09</t>
        </is>
      </c>
      <c r="G13" s="168" t="inlineStr">
        <is>
          <t>2:29</t>
        </is>
      </c>
    </row>
    <row r="14" ht="15" customHeight="1" s="159">
      <c r="A14" s="168" t="inlineStr">
        <is>
          <t>2 — Build</t>
        </is>
      </c>
      <c r="B14" s="168" t="inlineStr">
        <is>
          <t>S11-S18</t>
        </is>
      </c>
      <c r="C14" s="168" t="inlineStr">
        <is>
          <t>2:07</t>
        </is>
      </c>
      <c r="D14" s="168" t="inlineStr">
        <is>
          <t>2:13</t>
        </is>
      </c>
      <c r="E14" s="168" t="inlineStr">
        <is>
          <t>2:10</t>
        </is>
      </c>
      <c r="F14" s="168" t="inlineStr">
        <is>
          <t>2:07</t>
        </is>
      </c>
      <c r="G14" s="168" t="inlineStr">
        <is>
          <t>2:27</t>
        </is>
      </c>
    </row>
    <row r="15" ht="15" customHeight="1" s="159">
      <c r="A15" s="168" t="inlineStr">
        <is>
          <t>3 — Pré-IM</t>
        </is>
      </c>
      <c r="B15" s="168" t="inlineStr">
        <is>
          <t>S19-S24</t>
        </is>
      </c>
      <c r="C15" s="168" t="inlineStr">
        <is>
          <t>2:05</t>
        </is>
      </c>
      <c r="D15" s="168" t="inlineStr">
        <is>
          <t>2:11</t>
        </is>
      </c>
      <c r="E15" s="168" t="inlineStr">
        <is>
          <t>2:08</t>
        </is>
      </c>
      <c r="F15" s="168" t="inlineStr">
        <is>
          <t>2:05</t>
        </is>
      </c>
      <c r="G15" s="168" t="inlineStr">
        <is>
          <t>2:25</t>
        </is>
      </c>
    </row>
    <row r="16" ht="15" customHeight="1" s="159">
      <c r="A16" s="168" t="inlineStr">
        <is>
          <t>4 — Spécifique IM</t>
        </is>
      </c>
      <c r="B16" s="168" t="inlineStr">
        <is>
          <t>S25-S38</t>
        </is>
      </c>
      <c r="C16" s="168" t="inlineStr">
        <is>
          <t>2:03</t>
        </is>
      </c>
      <c r="D16" s="168" t="inlineStr">
        <is>
          <t>2:09</t>
        </is>
      </c>
      <c r="E16" s="168" t="inlineStr">
        <is>
          <t>2:06</t>
        </is>
      </c>
      <c r="F16" s="168" t="inlineStr">
        <is>
          <t>2:03</t>
        </is>
      </c>
      <c r="G16" s="168" t="inlineStr">
        <is>
          <t>2:23</t>
        </is>
      </c>
    </row>
    <row r="17" ht="15" customHeight="1" s="159">
      <c r="A17" s="168" t="inlineStr">
        <is>
          <t>5 — Bloc final / affûtage</t>
        </is>
      </c>
      <c r="B17" s="168" t="inlineStr">
        <is>
          <t>S39-S43</t>
        </is>
      </c>
      <c r="C17" s="168" t="inlineStr">
        <is>
          <t>2:01</t>
        </is>
      </c>
      <c r="D17" s="168" t="inlineStr">
        <is>
          <t>2:07</t>
        </is>
      </c>
      <c r="E17" s="168" t="inlineStr">
        <is>
          <t>2:04</t>
        </is>
      </c>
      <c r="F17" s="168" t="inlineStr">
        <is>
          <t>2:01</t>
        </is>
      </c>
      <c r="G17" s="168" t="inlineStr">
        <is>
          <t>2:21</t>
        </is>
      </c>
    </row>
    <row r="19" ht="15" customHeight="1" s="159">
      <c r="A19" s="158" t="inlineStr">
        <is>
          <t>Tests CSS</t>
        </is>
      </c>
    </row>
    <row r="20" ht="45" customHeight="1" s="159">
      <c r="A20" s="168" t="inlineStr">
        <is>
          <t>Test 400 m + 200 m à fond en S06, S19 et S29 (jeudi). CSS /100 m = (chrono 400 m − chrono 200 m) ÷ 2. Si ta CSS diffère de la valeur prévue, décale toutes les allures de la phase du même écart. Relève aussi ta FC moyenne sur le 400 m : elle donne ta zone seuil natation réelle (à ± 5 bpm) à la place de 150-160 bpm.</t>
        </is>
      </c>
    </row>
    <row r="22" ht="15" customHeight="1" s="159">
      <c r="A22" s="158" t="inlineStr">
        <is>
          <t>Abréviations et consignes</t>
        </is>
      </c>
    </row>
    <row r="23" ht="15" customHeight="1" s="159">
      <c r="A23" s="158" t="inlineStr">
        <is>
          <t>repos 20 s</t>
        </is>
      </c>
      <c r="B23" s="168" t="inlineStr">
        <is>
          <t>20 secondes de repos au mur entre deux répétitions</t>
        </is>
      </c>
    </row>
    <row r="24" ht="15" customHeight="1" s="159">
      <c r="A24" s="158" t="inlineStr">
        <is>
          <t>à la suite</t>
        </is>
      </c>
      <c r="B24" s="168" t="inlineStr">
        <is>
          <t>mètres enchaînés sans repos, à la même allure que la série</t>
        </is>
      </c>
    </row>
    <row r="25" ht="15" customHeight="1" s="159">
      <c r="A25" s="158" t="inlineStr">
        <is>
          <t>sighting</t>
        </is>
      </c>
      <c r="B25" s="168" t="inlineStr">
        <is>
          <t>lever la tête pour repérer la bouée ou le mur, toutes les 6-8 cycles de bras</t>
        </is>
      </c>
    </row>
    <row r="26" ht="15" customHeight="1" s="159">
      <c r="A26" s="158" t="inlineStr">
        <is>
          <t>éducatifs</t>
        </is>
      </c>
      <c r="B26" s="168" t="inlineStr">
        <is>
          <t>exercices techniques : catch-up, finger drag, sighting</t>
        </is>
      </c>
    </row>
    <row r="27" ht="15" customHeight="1" s="159">
      <c r="A27" s="158" t="inlineStr">
        <is>
          <t>pull buoy</t>
        </is>
      </c>
      <c r="B27" s="168" t="inlineStr">
        <is>
          <t>nage avec un pull-buoy entre les jambes</t>
        </is>
      </c>
    </row>
    <row r="28" ht="15" customHeight="1" s="159">
      <c r="A28" s="158" t="inlineStr">
        <is>
          <t>bloc continu</t>
        </is>
      </c>
      <c r="B28" s="168" t="inlineStr">
        <is>
          <t>distance nagée sans arrêt à l'allure indiquée</t>
        </is>
      </c>
    </row>
    <row r="29" ht="15" customHeight="1" s="159">
      <c r="A29" s="158" t="inlineStr">
        <is>
          <t>Durée de la séance</t>
        </is>
      </c>
      <c r="B29" s="168" t="inlineStr">
        <is>
          <t>durée réelle estimée : temps de nage + repos + changements de matériel</t>
        </is>
      </c>
    </row>
  </sheetData>
  <mergeCells count="8">
    <mergeCell ref="B24:G24"/>
    <mergeCell ref="B28:G28"/>
    <mergeCell ref="B23:G23"/>
    <mergeCell ref="B27:G27"/>
    <mergeCell ref="A20:G20"/>
    <mergeCell ref="B26:G26"/>
    <mergeCell ref="B29:G29"/>
    <mergeCell ref="B25:G2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Normal="100" workbookViewId="0">
      <selection activeCell="L53" sqref="L53"/>
    </sheetView>
  </sheetViews>
  <sheetFormatPr baseColWidth="10" defaultColWidth="8.7109375" defaultRowHeight="15"/>
  <cols>
    <col width="18" customWidth="1" style="159" min="1" max="1"/>
    <col width="14" customWidth="1" style="159" min="2" max="3"/>
    <col width="80" customWidth="1" style="159" min="4" max="4"/>
  </cols>
  <sheetData>
    <row r="1" ht="45" customHeight="1" s="159">
      <c r="A1" s="158" t="inlineStr">
        <is>
          <t>Repères course — zones de fréquence cardiaque (FC max 194), allure IM fixée à 150-155 bpm</t>
        </is>
      </c>
    </row>
    <row r="3" ht="15" customHeight="1" s="159">
      <c r="A3" s="168" t="inlineStr">
        <is>
          <t>Zone</t>
        </is>
      </c>
      <c r="B3" s="168" t="inlineStr">
        <is>
          <t>bpm</t>
        </is>
      </c>
      <c r="C3" s="168" t="inlineStr">
        <is>
          <t>% FC max</t>
        </is>
      </c>
      <c r="D3" s="168" t="inlineStr">
        <is>
          <t>Usage</t>
        </is>
      </c>
    </row>
    <row r="4" ht="30" customHeight="1" s="159">
      <c r="A4" t="inlineStr">
        <is>
          <t>EF / Z2</t>
        </is>
      </c>
      <c r="B4" t="inlineStr">
        <is>
          <t>127-140</t>
        </is>
      </c>
      <c r="C4" t="inlineStr">
        <is>
          <t>65-72%</t>
        </is>
      </c>
      <c r="D4" t="inlineStr">
        <is>
          <t>footings, sorties longues, échauffements et retours au calme</t>
        </is>
      </c>
    </row>
    <row r="5" ht="30" customHeight="1" s="159">
      <c r="A5" t="inlineStr">
        <is>
          <t>Z3 bas</t>
        </is>
      </c>
      <c r="B5" t="inlineStr">
        <is>
          <t>141-149</t>
        </is>
      </c>
      <c r="C5" t="inlineStr">
        <is>
          <t>73-77%</t>
        </is>
      </c>
      <c r="D5" t="inlineStr">
        <is>
          <t>briques (Z2-Z3, 127-155 bpm)</t>
        </is>
      </c>
    </row>
    <row r="6" ht="30" customHeight="1" s="159">
      <c r="A6" t="inlineStr">
        <is>
          <t>Allure IM</t>
        </is>
      </c>
      <c r="B6" t="inlineStr">
        <is>
          <t>150-155</t>
        </is>
      </c>
      <c r="C6" t="inlineStr">
        <is>
          <t>77-80%</t>
        </is>
      </c>
      <c r="D6" t="inlineStr">
        <is>
          <t>allure du marathon Ironman : blocs IM, fin de sortie longue, Grand Brick, 1 km des 2 km / 1 km</t>
        </is>
      </c>
    </row>
    <row r="7" ht="30" customHeight="1" s="159">
      <c r="A7" t="inlineStr">
        <is>
          <t>SV1</t>
        </is>
      </c>
      <c r="B7" t="inlineStr">
        <is>
          <t>155-165</t>
        </is>
      </c>
      <c r="C7" t="inlineStr">
        <is>
          <t>80-85%</t>
        </is>
      </c>
      <c r="D7" t="inlineStr">
        <is>
          <t>blocs 20-15-10, 2 km des 2 km / 1 km, tempo progressif 80-85 %</t>
        </is>
      </c>
    </row>
    <row r="8" ht="30" customHeight="1" s="159">
      <c r="A8" t="inlineStr">
        <is>
          <t>SV1+ / seuil</t>
        </is>
      </c>
      <c r="B8" t="inlineStr">
        <is>
          <t>165-171</t>
        </is>
      </c>
      <c r="C8" t="inlineStr">
        <is>
          <t>85-88%</t>
        </is>
      </c>
      <c r="D8" t="inlineStr">
        <is>
          <t>blocs 9' + 5', SV1+</t>
        </is>
      </c>
    </row>
    <row r="9" ht="30" customHeight="1" s="159">
      <c r="A9" t="inlineStr">
        <is>
          <t>VMA courte</t>
        </is>
      </c>
      <c r="B9" t="inlineStr">
        <is>
          <t>175-184</t>
        </is>
      </c>
      <c r="C9" t="inlineStr">
        <is>
          <t>90-95%</t>
        </is>
      </c>
      <c r="D9" t="inlineStr">
        <is>
          <t>pyramides et 400 / 300 m — uniquement en Base et Build (S10, S11, S14, S15)</t>
        </is>
      </c>
    </row>
    <row r="11" ht="45" customHeight="1" s="159">
      <c r="A11" t="inlineStr">
        <is>
          <t>Pas de test course séparé : le mardi reste ton fractionné. Les FC relevées sur les blocs SV1+ (165-171 bpm) et sur le semi de Lacanau servent de contrôle ; si elles s'écartent nettement des zones, on décale toutes les zones du même écart.</t>
        </is>
      </c>
    </row>
    <row r="12" ht="30" customHeight="1" s="159">
      <c r="A12" t="inlineStr">
        <is>
          <t>Lacanau (S34) : la FC du marathon d'un Ironman se situe en général quelques bpm sous celle du semi d'un format L. Relève ta FC moyenne sur le semi pour valider l'allure IM de 150-155 bpm.</t>
        </is>
      </c>
    </row>
    <row r="13" ht="30" customHeight="1" s="159">
      <c r="A13" t="inlineStr">
        <is>
          <t>Durées : les durées des séances sont calculées sur ton allure actuelle. Quand ton allure progresse, les km restent la référence et la durée baisse.</t>
        </is>
      </c>
    </row>
  </sheetData>
  <mergeCells count="4">
    <mergeCell ref="A1:D1"/>
    <mergeCell ref="A12:D12"/>
    <mergeCell ref="A13:D13"/>
    <mergeCell ref="A11:D1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L53" sqref="L53"/>
    </sheetView>
  </sheetViews>
  <sheetFormatPr baseColWidth="10" defaultColWidth="8.7109375" defaultRowHeight="15"/>
  <cols>
    <col width="18" customWidth="1" style="159" min="1" max="1"/>
    <col width="22" customWidth="1" style="159" min="2" max="3"/>
    <col width="70" customWidth="1" style="159" min="4" max="4"/>
    <col width="30" customWidth="1" style="159" min="5" max="5"/>
  </cols>
  <sheetData>
    <row r="1" ht="45" customHeight="1" s="159">
      <c r="A1" s="158" t="inlineStr">
        <is>
          <t>Repères vélo — zones de puissance en % de FTP (la FC reste un repère secondaire : seuil lactique 163 bpm, FC max 194)</t>
        </is>
      </c>
    </row>
    <row r="2" ht="30" customHeight="1" s="159">
      <c r="A2" s="143" t="inlineStr">
        <is>
          <t>FTP actuelle (W)</t>
        </is>
      </c>
      <c r="B2" s="145" t="n">
        <v>200</v>
      </c>
      <c r="C2" s="168" t="inlineStr">
        <is>
          <t>← seule case à modifier (après les tests FTP de S10 et S23) : tous les watts du plan se recalculent</t>
        </is>
      </c>
    </row>
    <row r="3" ht="15" customHeight="1" s="159">
      <c r="A3" s="143" t="inlineStr">
        <is>
          <t>Zone</t>
        </is>
      </c>
      <c r="B3" s="143" t="inlineStr">
        <is>
          <t>% FTP</t>
        </is>
      </c>
      <c r="C3" s="143" t="inlineStr">
        <is>
          <t>FC repère (bpm)</t>
        </is>
      </c>
      <c r="D3" s="143" t="inlineStr">
        <is>
          <t>Usage</t>
        </is>
      </c>
      <c r="E3" s="143" t="inlineStr">
        <is>
          <t>Watts (avec ta FTP)</t>
        </is>
      </c>
    </row>
    <row r="4" ht="30" customHeight="1" s="159">
      <c r="A4" s="168" t="inlineStr">
        <is>
          <t>Z1 Récupération</t>
        </is>
      </c>
      <c r="B4" s="168" t="inlineStr">
        <is>
          <t>&lt; 55%</t>
        </is>
      </c>
      <c r="C4" s="168" t="inlineStr">
        <is>
          <t>&lt; 127</t>
        </is>
      </c>
      <c r="D4" s="168" t="inlineStr">
        <is>
          <t>vélo récupération, activation, retour au calme, récup entre blocs</t>
        </is>
      </c>
      <c r="E4" s="168">
        <f>"&lt; "&amp;IF(FTP&gt;0,TEXT(ROUND(FTP*55/500,0)*5,"0"),"?")&amp;" W"</f>
        <v/>
      </c>
    </row>
    <row r="5" ht="30" customHeight="1" s="159">
      <c r="A5" s="168" t="inlineStr">
        <is>
          <t>Z2 Endurance</t>
        </is>
      </c>
      <c r="B5" s="168" t="inlineStr">
        <is>
          <t>56-75% (cible 60-70%)</t>
        </is>
      </c>
      <c r="C5" s="168" t="inlineStr">
        <is>
          <t>127-140</t>
        </is>
      </c>
      <c r="D5" s="168" t="inlineStr">
        <is>
          <t>EF, sorties longues, part endurance des séances clés</t>
        </is>
      </c>
      <c r="E5" s="168">
        <f>IF(FTP&gt;0,TEXT(ROUND(FTP*56/500,0)*5,"0"),"?")&amp;"-"&amp;IF(FTP&gt;0,TEXT(ROUND(FTP*75/500,0)*5,"0"),"?")&amp;" W (cible "&amp;IF(FTP&gt;0,TEXT(ROUND(FTP*60/500,0)*5,"0"),"?")&amp;"-"&amp;IF(FTP&gt;0,TEXT(ROUND(FTP*70/500,0)*5,"0"),"?")&amp;" W)"</f>
        <v/>
      </c>
    </row>
    <row r="6" ht="30" customHeight="1" s="159">
      <c r="A6" s="168" t="inlineStr">
        <is>
          <t>Allure IM</t>
        </is>
      </c>
      <c r="B6" s="168" t="inlineStr">
        <is>
          <t>70-75%</t>
        </is>
      </c>
      <c r="C6" s="168" t="inlineStr">
        <is>
          <t>136-146</t>
        </is>
      </c>
      <c r="D6" s="168" t="inlineStr">
        <is>
          <t>blocs spécifiques Ironman (mercredi, sorties longues S36-S42, Grand Brick) — IF course visé 0,68-0,72</t>
        </is>
      </c>
      <c r="E6" s="168">
        <f>IF(FTP&gt;0,TEXT(ROUND(FTP*70/500,0)*5,"0"),"?")&amp;"-"&amp;IF(FTP&gt;0,TEXT(ROUND(FTP*75/500,0)*5,"0"),"?")&amp;" W"</f>
        <v/>
      </c>
    </row>
    <row r="7" ht="30" customHeight="1" s="159">
      <c r="A7" s="168" t="inlineStr">
        <is>
          <t>Z3 Tempo</t>
        </is>
      </c>
      <c r="B7" s="168" t="inlineStr">
        <is>
          <t>76-87% (blocs 82-87%)</t>
        </is>
      </c>
      <c r="C7" s="168" t="inlineStr">
        <is>
          <t>147-159</t>
        </is>
      </c>
      <c r="D7" s="168" t="inlineStr">
        <is>
          <t>blocs tempo (S16, S33) ; force basse cadence à 75-85% FTP, 55-62 rpm</t>
        </is>
      </c>
      <c r="E7" s="168">
        <f>IF(FTP&gt;0,TEXT(ROUND(FTP*76/500,0)*5,"0"),"?")&amp;"-"&amp;IF(FTP&gt;0,TEXT(ROUND(FTP*87/500,0)*5,"0"),"?")&amp;" W"</f>
        <v/>
      </c>
    </row>
    <row r="8" ht="30" customHeight="1" s="159">
      <c r="A8" s="168" t="inlineStr">
        <is>
          <t>Sweet spot</t>
        </is>
      </c>
      <c r="B8" s="168" t="inlineStr">
        <is>
          <t>88-94%</t>
        </is>
      </c>
      <c r="C8" s="168" t="inlineStr">
        <is>
          <t>155-163</t>
        </is>
      </c>
      <c r="D8" s="168" t="inlineStr">
        <is>
          <t>blocs de 2x7' à 2x33' (88-92% selon la phase)</t>
        </is>
      </c>
      <c r="E8" s="168">
        <f>IF(FTP&gt;0,TEXT(ROUND(FTP*88/500,0)*5,"0"),"?")&amp;"-"&amp;IF(FTP&gt;0,TEXT(ROUND(FTP*94/500,0)*5,"0"),"?")&amp;" W"</f>
        <v/>
      </c>
    </row>
    <row r="9" ht="30" customHeight="1" s="159">
      <c r="A9" s="168" t="inlineStr">
        <is>
          <t>Z4 Seuil</t>
        </is>
      </c>
      <c r="B9" s="168" t="inlineStr">
        <is>
          <t>95-105% (blocs 100-105%)</t>
        </is>
      </c>
      <c r="C9" s="168" t="inlineStr">
        <is>
          <t>163-170</t>
        </is>
      </c>
      <c r="D9" s="168" t="inlineStr">
        <is>
          <t>blocs seuil de 9 à 12' (S11) ; test FTP 20' (S10, S23)</t>
        </is>
      </c>
      <c r="E9" s="168">
        <f>IF(FTP&gt;0,TEXT(ROUND(FTP*95/500,0)*5,"0"),"?")&amp;"-"&amp;IF(FTP&gt;0,TEXT(ROUND(FTP*105/500,0)*5,"0"),"?")&amp;" W"</f>
        <v/>
      </c>
    </row>
    <row r="10" ht="30" customHeight="1" s="159">
      <c r="A10" s="168" t="inlineStr">
        <is>
          <t>Over-unders</t>
        </is>
      </c>
      <c r="B10" s="168" t="inlineStr">
        <is>
          <t>93% / 107%</t>
        </is>
      </c>
      <c r="C10" s="168" t="inlineStr">
        <is>
          <t>—</t>
        </is>
      </c>
      <c r="D10" s="168" t="inlineStr">
        <is>
          <t>alternance 3' sous le seuil / 1' au-dessus (S07, S12)</t>
        </is>
      </c>
      <c r="E10" s="168">
        <f>IF(FTP&gt;0,TEXT(ROUND(FTP*93/500,0)*5,"0"),"?")&amp;" / "&amp;IF(FTP&gt;0,TEXT(ROUND(FTP*107/500,0)*5,"0"),"?")&amp;" W"</f>
        <v/>
      </c>
    </row>
    <row r="11" ht="30" customHeight="1" s="159">
      <c r="A11" s="168" t="inlineStr">
        <is>
          <t>Z5 VO2</t>
        </is>
      </c>
      <c r="B11" s="168" t="inlineStr">
        <is>
          <t>106-120% (blocs 112-115%)</t>
        </is>
      </c>
      <c r="C11" s="168" t="inlineStr">
        <is>
          <t>184-194 en fin de rép.</t>
        </is>
      </c>
      <c r="D11" s="168" t="inlineStr">
        <is>
          <t>intervalles de 3 à 4' (S08, S15, S24)</t>
        </is>
      </c>
      <c r="E11" s="168">
        <f>IF(FTP&gt;0,TEXT(ROUND(FTP*106/500,0)*5,"0"),"?")&amp;"-"&amp;IF(FTP&gt;0,TEXT(ROUND(FTP*120/500,0)*5,"0"),"?")&amp;" W"</f>
        <v/>
      </c>
    </row>
    <row r="13" ht="45" customHeight="1" s="159">
      <c r="A13" s="168" t="inlineStr">
        <is>
          <t>FTP : jusqu'au test de S10, utilise la FTP estimée par ton capteur ou ton appli (ou 95 % de ta meilleure puissance moyenne sur 20'). Tests 20' le mercredi de S10 et de S23 : FTP = 0,95 × puissance moyenne des 20' ; recale toutes les zones avec la nouvelle valeur.</t>
        </is>
      </c>
    </row>
    <row r="14" ht="45" customHeight="1" s="159">
      <c r="A14" s="168" t="inlineStr">
        <is>
          <t>Course : un âge-groupe vise un IF de 0,65 à 0,75 sur le vélo d'un Ironman (0,68-0,72 pour la majorité), soit environ 250 à 285 TSS — 70-75 % FTP sur les blocs IM, un peu moins en moyenne sur 180 km. Recale avec ta puissance normalisée de Lacanau (S34).</t>
        </is>
      </c>
    </row>
    <row r="15" ht="60" customHeight="1" s="159">
      <c r="A15" s="168" t="inlineStr">
        <is>
          <t>Exécution MyWhoosh : mode ERG sur tous les blocs (sauf le test FTP) ; cadence 85-95 rpm partout, sauf les blocs de force du vendredi (55-62 rpm) ; ne pars jamais au-dessus des watts du bloc ; la FC qui dérive en fin de bloc est normale, ce sont les watts qui commandent ; entre les blocs, pédale à &lt; 55 % FTP.</t>
        </is>
      </c>
    </row>
    <row r="16" ht="45" customHeight="1" s="159">
      <c r="A16" s="168" t="inlineStr">
        <is>
          <t>TSS vélo = durée (h) × IF² × 100, calculée séance par séance avec les zones ci-dessus. Les séances de 1' (over-unders) et les VO2 se pilotent à la puissance, pas à la FC qui réagit trop lentement.</t>
        </is>
      </c>
    </row>
    <row r="17" ht="30" customHeight="1" s="159">
      <c r="A17" s="168" t="inlineStr">
        <is>
          <t>Sources : TrainingPeaks — Lessons from Kona (IF 0,65-0,75 âge-groupe) ; Best Bike Split — Ironman pacing (IF 0,68-0,72, 250-285 TSS) ; zones de Coggan (sweet spot 88-94 % FTP).</t>
        </is>
      </c>
    </row>
  </sheetData>
  <mergeCells count="7">
    <mergeCell ref="C2:E2"/>
    <mergeCell ref="A1:D1"/>
    <mergeCell ref="A17:D17"/>
    <mergeCell ref="A15:D15"/>
    <mergeCell ref="A16:D16"/>
    <mergeCell ref="A13:D13"/>
    <mergeCell ref="A14:D1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2026-08-17T15:05:41Z</dcterms:created>
  <dcterms:modified xmlns:dcterms="http://purl.org/dc/terms/" xmlns:xsi="http://www.w3.org/2001/XMLSchema-instance" xsi:type="dcterms:W3CDTF">2026-10-19T09:18:32Z</dcterms:modified>
  <cp:lastModifiedBy>Matteo HERNANDEZ</cp:lastModifiedBy>
  <cp:revision>0</cp:revision>
</cp:coreProperties>
</file>

<file path=docProps/custom.xml><?xml version="1.0" encoding="utf-8"?>
<Properties xmlns="http://schemas.openxmlformats.org/officeDocument/2006/custom-properties">
  <property name="MSIP_Label_d9b4fdc8-09b3-4311-8f77-000164ee6eab_ActionId" fmtid="{D5CDD505-2E9C-101B-9397-08002B2CF9AE}" pid="2">
    <vt:lpwstr xmlns:vt="http://schemas.openxmlformats.org/officeDocument/2006/docPropsVTypes">47cddccb-baf0-4d47-9b06-fd444b054565</vt:lpwstr>
  </property>
  <property name="MSIP_Label_d9b4fdc8-09b3-4311-8f77-000164ee6eab_ContentBits" fmtid="{D5CDD505-2E9C-101B-9397-08002B2CF9AE}" pid="3">
    <vt:lpwstr xmlns:vt="http://schemas.openxmlformats.org/officeDocument/2006/docPropsVTypes">0</vt:lpwstr>
  </property>
  <property name="MSIP_Label_d9b4fdc8-09b3-4311-8f77-000164ee6eab_Enabled" fmtid="{D5CDD505-2E9C-101B-9397-08002B2CF9AE}" pid="4">
    <vt:lpwstr xmlns:vt="http://schemas.openxmlformats.org/officeDocument/2006/docPropsVTypes">true</vt:lpwstr>
  </property>
  <property name="MSIP_Label_d9b4fdc8-09b3-4311-8f77-000164ee6eab_Method" fmtid="{D5CDD505-2E9C-101B-9397-08002B2CF9AE}" pid="5">
    <vt:lpwstr xmlns:vt="http://schemas.openxmlformats.org/officeDocument/2006/docPropsVTypes">Standard</vt:lpwstr>
  </property>
  <property name="MSIP_Label_d9b4fdc8-09b3-4311-8f77-000164ee6eab_Name" fmtid="{D5CDD505-2E9C-101B-9397-08002B2CF9AE}" pid="6">
    <vt:lpwstr xmlns:vt="http://schemas.openxmlformats.org/officeDocument/2006/docPropsVTypes">Interne</vt:lpwstr>
  </property>
  <property name="MSIP_Label_d9b4fdc8-09b3-4311-8f77-000164ee6eab_SetDate" fmtid="{D5CDD505-2E9C-101B-9397-08002B2CF9AE}" pid="7">
    <vt:lpwstr xmlns:vt="http://schemas.openxmlformats.org/officeDocument/2006/docPropsVTypes">2026-08-17T15:26:02Z</vt:lpwstr>
  </property>
  <property name="MSIP_Label_d9b4fdc8-09b3-4311-8f77-000164ee6eab_SiteId" fmtid="{D5CDD505-2E9C-101B-9397-08002B2CF9AE}" pid="8">
    <vt:lpwstr xmlns:vt="http://schemas.openxmlformats.org/officeDocument/2006/docPropsVTypes">fab7e728-037c-497d-9a94-644655015ab8</vt:lpwstr>
  </property>
  <property name="MSIP_Label_d9b4fdc8-09b3-4311-8f77-000164ee6eab_Tag" fmtid="{D5CDD505-2E9C-101B-9397-08002B2CF9AE}" pid="9">
    <vt:lpwstr xmlns:vt="http://schemas.openxmlformats.org/officeDocument/2006/docPropsVTypes">10, 3, 0, 1</vt:lpwstr>
  </property>
</Properties>
</file>