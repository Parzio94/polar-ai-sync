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IM Final" sheetId="1" state="visible" r:id="rId3"/>
    <sheet name="Repères natation" sheetId="2" state="visible" r:id="rId4"/>
    <sheet name="Repères vél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<sst xmlns="http://schemas.openxmlformats.org/spreadsheetml/2006/main" count="2704" uniqueCount="696">
  <si>
    <t xml:space="preserve">  S01 — 31/08/2026 → 06/09/2026   |     S1 — Transition post-vacances (Z2 pur 70%)</t>
  </si>
  <si>
    <t xml:space="preserve">Lundi</t>
  </si>
  <si>
    <t xml:space="preserve">Repos</t>
  </si>
  <si>
    <t xml:space="preserve">OFF</t>
  </si>
  <si>
    <t xml:space="preserve">-</t>
  </si>
  <si>
    <t xml:space="preserve">Début plan IM — Transition post-vacances Grèce
Semaine très légère — reconstruction progressive</t>
  </si>
  <si>
    <t xml:space="preserve">Mardi</t>
  </si>
  <si>
    <t xml:space="preserve">Course</t>
  </si>
  <si>
    <t xml:space="preserve">EF — transition</t>
  </si>
  <si>
    <t xml:space="preserve">Z2</t>
  </si>
  <si>
    <t xml:space="preserve">40' EF Z2 (127-140 bpm)
Pas de qualité — écouter les sensations
Bienvenue dans le plan Ironman 💪</t>
  </si>
  <si>
    <t xml:space="preserve">Vélo</t>
  </si>
  <si>
    <t xml:space="preserve">Vélo récup Z2</t>
  </si>
  <si>
    <t xml:space="preserve">29' Z2 très facile (127-140 bpm) — récupération active
Cadence souple 85-90 rpm</t>
  </si>
  <si>
    <t xml:space="preserve">Mercredi</t>
  </si>
  <si>
    <t xml:space="preserve">Vélo clé — 2x22' @ 85% FTP — r=5'</t>
  </si>
  <si>
    <t xml:space="preserve">20' EF Z2 | 2x22' @ 85% FTP — r=5' | 10' RC
FC bloc cible : ~165 bpm (85% FC max) | Cadence : 87-93 rpm
NUTRITION : 40g glucides/h si &gt;90'</t>
  </si>
  <si>
    <t xml:space="preserve">Jeudi</t>
  </si>
  <si>
    <t xml:space="preserve">EF + strides</t>
  </si>
  <si>
    <t xml:space="preserve">Z1-Z2</t>
  </si>
  <si>
    <t xml:space="preserve">24' EF Z2 (127-140 bpm) | 4x20'' strides
Très facile</t>
  </si>
  <si>
    <t xml:space="preserve">Vendredi</t>
  </si>
  <si>
    <t xml:space="preserve">EF Z2 — court</t>
  </si>
  <si>
    <t xml:space="preserve">26' EF Z2 (127-140 bpm) | 4x20'' strides en fin</t>
  </si>
  <si>
    <t xml:space="preserve">Force très légère</t>
  </si>
  <si>
    <t xml:space="preserve">10' EF | 4x3' basse cadence (55-62 rpm) @ Z2 — r=3' | 10' RC
FC : 131-155 bpm</t>
  </si>
  <si>
    <t xml:space="preserve">Samedi</t>
  </si>
  <si>
    <t xml:space="preserve">Natation</t>
  </si>
  <si>
    <t xml:space="preserve">Natation technique</t>
  </si>
  <si>
    <t xml:space="preserve">4x50 facile (108-117 bpm) | 8x50 éducatifs (catch-up/finger drag/sighting/pull buoy)
16x100 pull buoy (135-148 bpm) + 50m | 200 retour
Volume : 2450m</t>
  </si>
  <si>
    <t xml:space="preserve">SORTIE LONGUE Z2 — 20' (3.0 km)</t>
  </si>
  <si>
    <t xml:space="preserve">20' Z2 (127-140 bpm) — allure conversationnelle
Pas de Z3 — foncier pur</t>
  </si>
  <si>
    <t xml:space="preserve">Dimanche</t>
  </si>
  <si>
    <t xml:space="preserve">Natation endurance</t>
  </si>
  <si>
    <t xml:space="preserve">200 EF (110-126 bpm) | 6x300m soutenu (135-148 bpm) (r=20'') + 150m | 200 retour
Allure constante + sighting
Volume : 2350m</t>
  </si>
  <si>
    <t xml:space="preserve">TOTAL SEMAINE</t>
  </si>
  <si>
    <t xml:space="preserve">  S02 — 07/09/2026 → 13/09/2026   |     S2 — Reprise progressive (SS léger 80%)</t>
  </si>
  <si>
    <t xml:space="preserve">Repos — semaine 2 de transition
Corp qui reprend le rythme</t>
  </si>
  <si>
    <t xml:space="preserve">Qualité — 1km lent/rapide x2 (80/87%)</t>
  </si>
  <si>
    <t xml:space="preserve">Z3-Z4</t>
  </si>
  <si>
    <t xml:space="preserve">Objectif : économie de course et relance (alternance lent / rapide)
10' EF Z2 (127-140 bpm)
2 x [1 km à 80% FC max (155 bpm) — 1'15 de repos — 1 km à 87% (169 bpm)]
1'40 de repos entre chaque série
7' EF Z2 (127-140 bpm)</t>
  </si>
  <si>
    <t xml:space="preserve">38' Z2 très facile (127-140 bpm) — récupération active
Cadence souple 85-90 rpm</t>
  </si>
  <si>
    <t xml:space="preserve">Vélo clé — 2x10' @ 83% FTP — r=5'</t>
  </si>
  <si>
    <t xml:space="preserve">Z3</t>
  </si>
  <si>
    <t xml:space="preserve">20' EF Z2 (127-140 bpm) | 2x10' @ 83% FTP — r=5'
Objectif : développer la puissance au seuil (FTP)
FC bloc cible : ~161 bpm (83% FC max) | Cadence : 87-93 rpm | RPE 7-8/10
NUTRITION : 40g glucides/h si &gt;90'
10' RC (127-140 bpm)</t>
  </si>
  <si>
    <t xml:space="preserve">26' EF Z2 (127-140 bpm) | 4x20'' strides
Jamais &gt; Z2</t>
  </si>
  <si>
    <t xml:space="preserve">Force légère</t>
  </si>
  <si>
    <t xml:space="preserve">Z2-Z3</t>
  </si>
  <si>
    <t xml:space="preserve">10' EF (127-140 bpm) | 4x3' basse cadence (55-62 rpm) @ Z2 — r=3'
Objectif : force musculaire spécifique, économie de pédalage
FC : 131-155 bpm | RPE 6-7/10
10' RC (127-140 bpm)</t>
  </si>
  <si>
    <t xml:space="preserve">4x50 facile (108-117 bpm) | 12x50 éducatifs (catch-up/finger drag/sighting/pull buoy)
18x100 pull buoy (135-148 bpm) + 50m | 200 retour
Volume : 2850m</t>
  </si>
  <si>
    <t xml:space="preserve">SORTIE LONGUE Z2 — 52' (8.0 km)</t>
  </si>
  <si>
    <t xml:space="preserve">52' Z2 (127-140 bpm)
Allure conversationnelle — premier vrai long</t>
  </si>
  <si>
    <t xml:space="preserve">Sortie longue — 156' (71.5 km)</t>
  </si>
  <si>
    <t xml:space="preserve">92' Z2 (127-140 bpm)
Cadence 85-92 rpm
NUTRITION : 40g glucides/h si &gt;60'</t>
  </si>
  <si>
    <t xml:space="preserve">200 EF (110-126 bpm) | 7x300m soutenu (135-148 bpm) (r=20'') + 250m | 200 retour
Allure constante + sighting
Volume : 2750m</t>
  </si>
  <si>
    <t xml:space="preserve">  S03 — 14/09/2026 → 20/09/2026   |     Phase 1 — Base (Deload -38%)</t>
  </si>
  <si>
    <t xml:space="preserve">Repos complet</t>
  </si>
  <si>
    <t xml:space="preserve">Qualité — 1km lent/rapide x1 (80/87%) — décharge</t>
  </si>
  <si>
    <t xml:space="preserve"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</si>
  <si>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Vélo récupération Z2</t>
  </si>
  <si>
    <t xml:space="preserve">24' Z2 très facile (127-140 bpm) — récupération active
Cadence souple 85-90 rpm</t>
  </si>
  <si>
    <t xml:space="preserve">Vélo clé — 2x9' @ 82% FTP — r=5'</t>
  </si>
  <si>
    <t xml:space="preserve">20' EF Z2 (127-140 bpm) | 2x9' @ 82% FTP — r=5'
Objectif : développer la puissance au seuil (FTP)
FC bloc cible : ~159 bpm (82% FC max) | Cadence : 87-93 rpm | RPE 7-8/10
NUTRITION : 40g glucides/h si &gt;90'
10' RC (127-140 bpm)</t>
  </si>
  <si>
    <t xml:space="preserve">Natation technique pré-course</t>
  </si>
  <si>
    <t xml:space="preserve">4x50 facile (108-117 bpm) | 7x50 éducatifs (catch-up/finger drag/sighting/pull buoy)
8x100 pull buoy (135-148 bpm) + 50m | 200 retour
Volume : 1600m</t>
  </si>
  <si>
    <t xml:space="preserve">Force spécifique</t>
  </si>
  <si>
    <t xml:space="preserve">COMPETITION — Triathlon M (nat+vélo+course)</t>
  </si>
  <si>
    <t xml:space="preserve">Format M : 1.5km nat + 40km vélo + 10km course</t>
  </si>
  <si>
    <t xml:space="preserve">  S04 — 21/09/2026 → 27/09/2026   |     Phase 1 — Base</t>
  </si>
  <si>
    <t xml:space="preserve">Tempo — Progressif 3x9' (80/85/90%)</t>
  </si>
  <si>
    <t xml:space="preserve">Objectif : progression SV1 → SV2, endurance de seuil
9' EF Z2 (127-140 bpm) + 2-4 lignes droites
9' à 80% FC max (155 bpm)
9' à 85% FC max (165 bpm)
9' à 90% FC max (175 bpm)
(enchaînés, sans repos)
6' EF Z2 (127-140 bpm)</t>
  </si>
  <si>
    <t xml:space="preserve">33' Z2 très facile (127-140 bpm) — récupération active
Cadence souple 85-90 rpm</t>
  </si>
  <si>
    <t xml:space="preserve">Vélo clé — 3x9' @ 86% FTP — r=5'</t>
  </si>
  <si>
    <t xml:space="preserve">20' EF Z2 (127-140 bpm) | 3x9' @ 86% FTP — r=5'
Objectif : développer la puissance au seuil (FTP)
FC bloc cible : ~167 bpm (86% FC max) | Cadence : 87-93 rpm | RPE 7-8/10
NUTRITION : 40g glucides/h si &gt;90'
10' RC (127-140 bpm)</t>
  </si>
  <si>
    <t xml:space="preserve">200 EF (110-126 bpm) | 2x300m soutenu (135-148 bpm) (r=20'') | 200 retour
Allure constante + sighting
Volume : 1000m</t>
  </si>
  <si>
    <t xml:space="preserve">EF Z2 + accélérations</t>
  </si>
  <si>
    <t xml:space="preserve">51' EF Z2 (127-140 bpm)
6x20'' accélérations en fin — allure libre
Très facile, aucune pression chrono</t>
  </si>
  <si>
    <t xml:space="preserve">4x50 facile (108-117 bpm) | 12x50 éducatifs (catch-up/finger drag/sighting/pull buoy)
19x100 pull buoy (135-148 bpm) + 50m | 200 retour
Volume : 2950m</t>
  </si>
  <si>
    <t xml:space="preserve">Z2 52' stable (127-140 bpm)
Allure conversationnelle — cadence 170-175 spm</t>
  </si>
  <si>
    <t xml:space="preserve">Sortie longue — 230' (106.0 km)</t>
  </si>
  <si>
    <t xml:space="preserve">94' Z2 (127-140 bpm)
Cadence 85-92 rpm
NUTRITION : 40g glucides/h si &gt;60'</t>
  </si>
  <si>
    <t xml:space="preserve">200 EF (110-126 bpm) | 4x300m soutenu (135-148 bpm) (r=20'') + 150m | 200 retour
Allure constante + sighting
Volume : 1750m</t>
  </si>
  <si>
    <t xml:space="preserve">  S05 — 28/09/2026 → 04/10/2026   |     Phase 1 — Base (Deload)</t>
  </si>
  <si>
    <t xml:space="preserve">Tempo — Progressif 2x7' (80/85%) — décharge</t>
  </si>
  <si>
    <t xml:space="preserve">Objectif : progression SV1 → SV2, endurance de seuil
11' EF Z2 (127-140 bpm) + 2-4 lignes droites
7' à 80% FC max (155 bpm)
7' à 85% FC max (165 bpm)
(enchaînés, sans repos)
8' EF Z2 (127-140 bpm)
Décharge : même type de séance que le bloc précédent, volume de qualité réduit</t>
  </si>
  <si>
    <t xml:space="preserve">52' Z2 très facile (127-140 bpm) — récupération active
Cadence souple 85-90 rpm</t>
  </si>
  <si>
    <t xml:space="preserve">Vélo clé — 2x7' @ 82% FTP — r=5'</t>
  </si>
  <si>
    <t xml:space="preserve">89' EF Z2 (127-140 bpm) | 2x7' @ 82% FTP — r=5'
Objectif : développer la puissance au seuil (FTP)
FC bloc cible : ~159 bpm (82% FC max) | Cadence : 87-93 rpm | RPE 7-8/10
NUTRITION : 40g glucides/h si &gt;90'
10' RC (127-140 bpm)</t>
  </si>
  <si>
    <t xml:space="preserve">Échauffement : 6 x 50 m facile (108-117 bpm) — repos 30 s
Éducatifs : 5 x 50 m (catch-up, finger drag, sighting) — repos 30 s
Pull buoy : 9 x 100 m (135-148 bpm, 2:12/100 m) — repos 30 s + 50 m à la suite
Retour au calme : 200 m souple (110-126 bpm)
Total : 1700 m</t>
  </si>
  <si>
    <t xml:space="preserve">17' EF Z2 (127-140 bpm) | 4x20'' strides
Jamais &gt; Z2</t>
  </si>
  <si>
    <t xml:space="preserve">39' EF (127-140 bpm) | 4x3' basse cadence (55-62 rpm) @ Z2 — r=3'
Objectif : force musculaire spécifique, économie de pédalage
FC : 131-155 bpm | RPE 6-7/10
10' RC (127-140 bpm)</t>
  </si>
  <si>
    <t xml:space="preserve">SORTIE LONGUE Z2 — 34' (5.5 km)</t>
  </si>
  <si>
    <t xml:space="preserve">Z2 34' — allure conversationnelle
FC : 127-140 bpm</t>
  </si>
  <si>
    <t xml:space="preserve"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</si>
  <si>
    <t xml:space="preserve">  S06 — 05/10/2026 → 11/10/2026   |     Phase 1 — Base</t>
  </si>
  <si>
    <t xml:space="preserve">Tempo — Jog progressif 34' (version courte)</t>
  </si>
  <si>
    <t xml:space="preserve">Objectif : endurance aérobie active, allure progressive (70 → 80% FC max)
11' à 70-72% FC max (136-140 bpm)
11' à 74-77% (144-149 bpm)
12' à 78-80% (151-155 bpm)
(un seul bloc continu, la progression se fait à la FC)</t>
  </si>
  <si>
    <t xml:space="preserve">43' Z2 très facile (127-140 bpm) — récupération active
Cadence souple 85-90 rpm</t>
  </si>
  <si>
    <t xml:space="preserve">Vélo clé — 3x12' @ 84% FTP — r=5'</t>
  </si>
  <si>
    <t xml:space="preserve">45' EF Z2 (127-140 bpm) | 3x12' @ 84% FTP — r=5'
Objectif : travailler juste sous le seuil lactique (sweet spot)
FC bloc cible : ~163 bpm (84% FC max = ton seuil lactique) | Cadence : 87-93 rpm | RPE 6-7/10
NUTRITION : 40g glucides/h si &gt;90'
10' RC (127-140 bpm)</t>
  </si>
  <si>
    <t xml:space="preserve"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</si>
  <si>
    <t xml:space="preserve">37' EF Z2 (127-140 bpm)
6x20'' accélérations en fin — allure libre
Très facile, aucune pression chrono</t>
  </si>
  <si>
    <t xml:space="preserve">50' EF (127-140 bpm) | 4x3' basse cadence (55-62 rpm) @ Z2 — r=3'
Objectif : force musculaire spécifique, économie de pédalage
FC : 131-155 bpm | RPE 6-7/10
10' RC (127-140 bpm)</t>
  </si>
  <si>
    <t xml:space="preserve">Natation technique + bloc IM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</si>
  <si>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14 x 100 m (135-148 bpm, 2:12/100 m) — repos 30 s
Retour au calme : 200 m souple (110-126 bpm)
Total : 2600 m</t>
  </si>
  <si>
    <t xml:space="preserve">SORTIE LONGUE Z2 — 62' (10 km)</t>
  </si>
  <si>
    <t xml:space="preserve">Z2 62' stable (127-140 bpm)
Allure conversationnelle — cadence 170-175 spm</t>
  </si>
  <si>
    <t xml:space="preserve">Sortie longue — 214' (100.0 km)</t>
  </si>
  <si>
    <t xml:space="preserve">214' Z2 (127-140 bpm)
Cadence 85-92 rpm
NUTRITION : 40g glucides/h si &gt;60'</t>
  </si>
  <si>
    <t xml:space="preserve">Natation test CSS 400/200</t>
  </si>
  <si>
    <t xml:space="preserve"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</si>
  <si>
    <t xml:space="preserve">  S07 — 12/10/2026 → 18/10/2026   |     Phase 1 — Base</t>
  </si>
  <si>
    <t xml:space="preserve">Tempo — Progressif 3x8' (80/85/90%)</t>
  </si>
  <si>
    <t xml:space="preserve">Objectif : progression SV1 → SV2, endurance de seuil
8' EF Z2 (127-140 bpm) + 2-4 lignes droites
8' à 80% FC max (155 bpm)
8' à 85% FC max (165 bpm)
8' à 90% FC max (175 bpm)
(enchaînés, sans repos)
6' EF Z2 (127-140 bpm)</t>
  </si>
  <si>
    <t xml:space="preserve">Vélo clé — Over-unders 3x12' — r=5'</t>
  </si>
  <si>
    <t xml:space="preserve">51' EF Z2 (127-140 bpm) | 3x12' over-unders : 3 x (3' @ 80% (155 bpm) + 1' @ 88% (171 bpm)) — r=5'
Objectif : tolérance au lactate et relances, alternance sous / au-dessus du seuil
FC : 155 bpm (80% FC max) sous le seuil | 171 bpm (88%) au-dessus (seuil lactique 163 bpm) | Cadence : 87-93 rpm | RPE 7-8/10
NUTRITION : 40g glucides/h si &gt;90'
10' RC (127-140 bpm)</t>
  </si>
  <si>
    <t xml:space="preserve"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</si>
  <si>
    <t xml:space="preserve">55'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</si>
  <si>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500 m à allure IM, sans arrêt (135-148 bpm, 2:15/100 m) — sighting toutes les 6-8 cycles de bras
Pull buoy : 14 x 100 m (135-148 bpm, 2:12/100 m) — repos 30 s + 50 m à la suite
Retour au calme : 200 m souple (110-126 bpm)
Total : 2750 m</t>
  </si>
  <si>
    <t xml:space="preserve">SORTIE LONGUE Z2 — 68' (11 km)</t>
  </si>
  <si>
    <t xml:space="preserve">Z2 68' stable (127-140 bpm)
Allure conversationnelle — cadence 170-175 spm</t>
  </si>
  <si>
    <t xml:space="preserve">Sortie longue — 225' (105.0 km)</t>
  </si>
  <si>
    <t xml:space="preserve">225' Z2 (127-140 bpm)
Cadence 85-92 rpm
NUTRITION : 40g glucides/h si &gt;60'</t>
  </si>
  <si>
    <t xml:space="preserve"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</si>
  <si>
    <t xml:space="preserve">  S08 — 19/10/2026 → 25/10/2026   |     Phase 1 — Base</t>
  </si>
  <si>
    <t xml:space="preserve">Objectif : économie de course et relance (alternance lent / rapide)
11' EF Z2 (127-140 bpm)
2 x [1 km à 80% FC max (155 bpm) — 1'15 de repos — 1 km à 87% (169 bpm)]
1'40 de repos entre chaque série
8' EF Z2 (127-140 bpm)</t>
  </si>
  <si>
    <t xml:space="preserve">Vélo clé — VO2 5x3' @ 96% FTP — r=3'</t>
  </si>
  <si>
    <t xml:space="preserve">Z5</t>
  </si>
  <si>
    <t xml:space="preserve">40' EF Z2 (127-140 bpm) dont 3 ouvertures de 30'' à 90% FC max | 5x3' @ 96% FTP (186 bpm en fin de répétition) — r=3' Z1 | 34' EF Z2 (127-140 bpm)
Objectif : puissance aérobie maximale (VO2max), intervalles courts
FC fin de répétition : 184-194 bpm (95-100% FC max) | Cadence : 90-100 rpm | RPE 8-9/10
NUTRITION : 40g glucides/h si &gt;90'
10' RC (127-140 bpm)</t>
  </si>
  <si>
    <t xml:space="preserve"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</si>
  <si>
    <t xml:space="preserve">43' EF Z2 (127-140 bpm)
6x20'' accélérations en fin — allure libre
Très facile, aucune pression chrono</t>
  </si>
  <si>
    <t xml:space="preserve">61'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</si>
  <si>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600 m à allure IM, sans arrêt (135-148 bpm, 2:15/100 m) — sighting toutes les 6-8 cycles de bras
Pull buoy : 15 x 100 m (135-148 bpm, 2:12/100 m) — repos 30 s
Retour au calme : 200 m souple (110-126 bpm)
Total : 2900 m</t>
  </si>
  <si>
    <t xml:space="preserve">SORTIE LONGUE Z2 — 74' (12 km)</t>
  </si>
  <si>
    <t xml:space="preserve">Z2 74' stable (127-140 bpm)
Allure conversationnelle — cadence 170-175 spm</t>
  </si>
  <si>
    <t xml:space="preserve">Sortie longue — 236' (110.0 km)</t>
  </si>
  <si>
    <t xml:space="preserve">236' Z2 (127-140 bpm)
Cadence 85-92 rpm
NUTRITION : 40g glucides/h si &gt;60'</t>
  </si>
  <si>
    <t xml:space="preserve"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</si>
  <si>
    <t xml:space="preserve">  S09 — 26/10/2026 → 01/11/2026   |     Phase 1 — Base (Deload)</t>
  </si>
  <si>
    <t xml:space="preserve">Objectif : économie de course et relance (alternance lent / rapide)
10' EF Z2 (127-140 bpm)
1 x [1 km à 80% FC max (155 bpm) — 1'15 de repos — 1 km à 87% (169 bpm)]
1'40 de repos entre chaque série
7' EF Z2 (127-140 bpm)
Décharge : même type de séance que le bloc précédent, volume de qualité réduit</t>
  </si>
  <si>
    <t xml:space="preserve">32' Z2 très facile (127-140 bpm) — récupération active
Cadence souple 85-90 rpm</t>
  </si>
  <si>
    <t xml:space="preserve">Vélo clé — 2x15' @ 82% FTP — r=5'</t>
  </si>
  <si>
    <t xml:space="preserve">32' EF Z2 (127-140 bpm) | 2x15' @ 82% FTP — r=5'
Objectif : développer la puissance au seuil (FTP)
FC bloc cible : ~159 bpm (82% FC max) | Cadence : 87-93 rpm | RPE 7-8/10
NUTRITION : 50g glucides/h si &gt;90'
10' RC (127-140 bpm)</t>
  </si>
  <si>
    <t xml:space="preserve">Échauffement : 200 m souple (110-126 bpm, 2:29/100 m)
Série principale : 4 x 200 m à allure soutenue (135-148 bpm, 2:12/100 m) — repos 20 s
Retour au calme : 200 m souple (110-126 bpm)
Consigne : allure constante sur chaque répétition ; sighting toutes les 6-8 cycles de bras
Total : 1200 m</t>
  </si>
  <si>
    <t xml:space="preserve">31' EF Z2 (127-140 bpm) | 4x20'' strides
Jamais &gt; Z2</t>
  </si>
  <si>
    <t xml:space="preserve">31'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</si>
  <si>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400 m à allure IM, sans arrêt (135-148 bpm, 2:15/100 m) — sighting toutes les 6-8 cycles de bras
Pull buoy : 7 x 100 m (135-148 bpm, 2:12/100 m) — repos 30 s + 50 m à la suite
Retour au calme : 200 m souple (110-126 bpm)
Total : 1950 m</t>
  </si>
  <si>
    <t xml:space="preserve">SORTIE LONGUE Z2 — 49' (8 km)</t>
  </si>
  <si>
    <t xml:space="preserve">Z2 49' — allure conversationnelle
FC : 127-140 bpm</t>
  </si>
  <si>
    <t xml:space="preserve">Sortie longue — 150' (70.0 km)</t>
  </si>
  <si>
    <t xml:space="preserve">150' Z2 (127-140 bpm)
Cadence 85-92 rpm
Semaine deload — volume réduit
NUTRITION : 50g glucides/h si &gt;60'</t>
  </si>
  <si>
    <t xml:space="preserve">Échauffement : 200 m souple (110-126 bpm, 2:29/100 m)
Série principale : 3 x 300 m à allure soutenue (135-148 bpm, 2:12/100 m) — repos 20 s + 50 m à la suite, même allure
Retour au calme : 200 m souple (110-126 bpm)
Consigne : allure constante sur chaque répétition ; sighting toutes les 6-8 cycles de bras
Total : 1350 m</t>
  </si>
  <si>
    <t xml:space="preserve">  S10 — 02/11/2026 → 08/11/2026   |     Phase 1 — Base</t>
  </si>
  <si>
    <t xml:space="preserve">Qualité — Pyramide 400-300-200-100m x1</t>
  </si>
  <si>
    <t xml:space="preserve"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</si>
  <si>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 xml:space="preserve">Vélo clé — 3x15' @ 84% FTP — r=5'</t>
  </si>
  <si>
    <t xml:space="preserve">51' EF Z2 (127-140 bpm) | 3x15' @ 84% FTP — r=5'
Objectif : travailler juste sous le seuil lactique (sweet spot)
FC bloc cible : ~163 bpm (84% FC max = ton seuil lactique) | Cadence : 87-93 rpm | RPE 6-7/10
NUTRITION : 50g glucides/h si &gt;90'
10' RC (127-140 bpm)</t>
  </si>
  <si>
    <t xml:space="preserve"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</si>
  <si>
    <t xml:space="preserve">34' EF Z2 (127-140 bpm)
6x20'' accélérations en fin — allure libre
Très facile, aucune pression chrono</t>
  </si>
  <si>
    <t xml:space="preserve">27' EF Z1-Z2 (120-135 bpm) — COURT
Vraie récup — pas de strides</t>
  </si>
  <si>
    <t xml:space="preserve">59'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</si>
  <si>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700 m à allure IM, sans arrêt (135-148 bpm, 2:15/100 m) — sighting toutes les 6-8 cycles de bras
Pull buoy : 15 x 100 m (135-148 bpm, 2:12/100 m) — repos 30 s
Retour au calme : 200 m souple (110-126 bpm)
Total : 3000 m</t>
  </si>
  <si>
    <t xml:space="preserve">SORTIE LONGUE Z2 — 80' (13 km)</t>
  </si>
  <si>
    <t xml:space="preserve">Z2 80' stable (127-140 bpm)
Allure conversationnelle — cadence 170-175 spm</t>
  </si>
  <si>
    <t xml:space="preserve">Sortie longue — 240' (112.0 km)</t>
  </si>
  <si>
    <t xml:space="preserve">240' Z2 (127-140 bpm)
Cadence 85-92 rpm
NUTRITION : 50g glucides/h si &gt;60'</t>
  </si>
  <si>
    <t xml:space="preserve">Natation seuil + soutenu</t>
  </si>
  <si>
    <t xml:space="preserve"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</si>
  <si>
    <t xml:space="preserve">  S11 — 09/11/2026 → 15/11/2026   |     Phase 2 — Build</t>
  </si>
  <si>
    <t xml:space="preserve">Qualité — 1x(9' + 5') @ 83/87%</t>
  </si>
  <si>
    <t xml:space="preserve">Objectif : seuil, allure marathon vers semi
14' EF Z2 (127-140 bpm)
1 x [9' à 83% FC max (161 bpm) — 1'30 de repos — 5' à 87% (169 bpm)]
3'30 de repos entre séries
10' EF Z2 (127-140 bpm)</t>
  </si>
  <si>
    <t xml:space="preserve">Vélo clé — Seuil 4x9' @ 87% FTP — r=4'</t>
  </si>
  <si>
    <t xml:space="preserve">Z4</t>
  </si>
  <si>
    <t xml:space="preserve">64' EF Z2 (127-140 bpm) | 4x9' @ 87% FTP — r=4'
Objectif : élever le seuil (blocs courts à intensité haute)
FC bloc cible : ~169 bpm (87% FC max, 6 bpm au-dessus de ton seuil lactique de 163) | Cadence : 88-95 rpm | RPE 8/10
NUTRITION : 50g glucides/h si &gt;90'
10' RC (127-140 bpm)</t>
  </si>
  <si>
    <t xml:space="preserve"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</si>
  <si>
    <t xml:space="preserve">64'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</si>
  <si>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15 x 100 m (135-148 bpm, 2:10/100 m) — repos 30 s + 50 m à la suite
Retour au calme : 200 m souple (110-126 bpm)
Total : 3150 m</t>
  </si>
  <si>
    <t xml:space="preserve">SORTIE LONGUE Z2 — 86' (14 km)</t>
  </si>
  <si>
    <t xml:space="preserve">Z2 86' stable (127-140 bpm)
Allure conversationnelle — cadence 170-175 spm</t>
  </si>
  <si>
    <t xml:space="preserve">Sortie longue — 251' (117.0 km)</t>
  </si>
  <si>
    <t xml:space="preserve">251' Z2 (127-140 bpm)
Cadence 85-92 rpm
NUTRITION : 50g glucides/h si &gt;60'</t>
  </si>
  <si>
    <t xml:space="preserve"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</si>
  <si>
    <t xml:space="preserve">  S12 — 16/11/2026 → 22/11/2026   |     Phase 2 — Build</t>
  </si>
  <si>
    <t xml:space="preserve">Tempo — Progressif 3x10' (80/85/90%)</t>
  </si>
  <si>
    <t xml:space="preserve">Objectif : progression SV1 → SV2, endurance de seuil
8' EF Z2 (127-140 bpm) + 2-4 lignes droites
10' à 80% FC max (155 bpm)
10' à 85% FC max (165 bpm)
10' à 90% FC max (175 bpm)
(enchaînés, sans repos)
6' EF Z2 (127-140 bpm)</t>
  </si>
  <si>
    <t xml:space="preserve">47' Z2 très facile (127-140 bpm) — récupération active
Cadence souple 85-90 rpm</t>
  </si>
  <si>
    <t xml:space="preserve">Vélo clé — Over-unders 2x20' — r=5'</t>
  </si>
  <si>
    <t xml:space="preserve">71' EF Z2 (127-140 bpm) | 2x20' over-unders : 5 x (3' @ 80% (155 bpm) + 1' @ 88% (171 bpm)) — r=5'
Objectif : tolérance au lactate et relances, alternance sous / au-dessus du seuil
FC : 155 bpm (80% FC max) sous le seuil | 171 bpm (88%) au-dessus (seuil lactique 163 bpm) | Cadence : 87-93 rpm | RPE 7-8/10
NUTRITION : 50g glucides/h si &gt;90'
10' RC (127-140 bpm)</t>
  </si>
  <si>
    <t xml:space="preserve"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</si>
  <si>
    <t xml:space="preserve">70'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</si>
  <si>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900 m à allure IM, sans arrêt (135-148 bpm, 2:13/100 m) — sighting toutes les 6-8 cycles de bras
Pull buoy : 15 x 100 m (135-148 bpm, 2:10/100 m) — repos 30 s + 50 m à la suite
Retour au calme : 200 m souple (110-126 bpm)
Total : 3250 m</t>
  </si>
  <si>
    <t xml:space="preserve">SORTIE LONGUE Z2 — 92' (15 km)</t>
  </si>
  <si>
    <t xml:space="preserve">Z2 92' stable (127-140 bpm)
Allure conversationnelle — cadence 170-175 spm
Gel à 45'</t>
  </si>
  <si>
    <t xml:space="preserve">Sortie longue — 261' (122.0 km)</t>
  </si>
  <si>
    <t xml:space="preserve">261' Z2 (127-140 bpm)
Cadence 85-92 rpm
NUTRITION : 50g glucides/h si &gt;60'</t>
  </si>
  <si>
    <t xml:space="preserve"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</si>
  <si>
    <t xml:space="preserve">  S13 — 23/11/2026 → 29/11/2026   |     Phase 2 — Build (Deload)</t>
  </si>
  <si>
    <t xml:space="preserve">Tempo — Progressif 2x8' (80/85%) — décharge</t>
  </si>
  <si>
    <t xml:space="preserve">Objectif : progression SV1 → SV2, endurance de seuil
8' EF Z2 (127-140 bpm) + 2-4 lignes droites
8' à 80% FC max (155 bpm)
8' à 85% FC max (165 bpm)
(enchaînés, sans repos)
6' EF Z2 (127-140 bpm)
Décharge : même type de séance que le bloc précédent, volume de qualité réduit</t>
  </si>
  <si>
    <t xml:space="preserve">Vélo clé — 2x18' @ 82% FTP — r=5'</t>
  </si>
  <si>
    <t xml:space="preserve">30' EF Z2 (127-140 bpm) | 2x18' @ 82% FTP — r=5'
Objectif : développer la puissance au seuil (FTP)
FC bloc cible : ~159 bpm (82% FC max) | Cadence : 87-93 rpm | RPE 7-8/10
NUTRITION : 60g glucides/h si &gt;90'
10' RC (127-140 bpm)</t>
  </si>
  <si>
    <t xml:space="preserve">Échauffement : 200 m souple (110-126 bpm, 2:27/100 m)
Série principale : 4 x 200 m à allure soutenue (135-148 bpm, 2:10/100 m) — repos 20 s + 150 m à la suite, même allure
Retour au calme : 200 m souple (110-126 bpm)
Consigne : allure constante sur chaque répétition ; sighting toutes les 6-8 cycles de bras
Total : 1350 m</t>
  </si>
  <si>
    <t xml:space="preserve">20' EF Z1-Z2 (120-135 bpm) — COURT
Vraie récup — pas de strides</t>
  </si>
  <si>
    <t xml:space="preserve">38' EF (127-140 bpm) | 4x3'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</si>
  <si>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500 m à allure IM, sans arrêt (135-148 bpm, 2:13/100 m) — sighting toutes les 6-8 cycles de bras
Pull buoy : 8 x 100 m (135-148 bpm, 2:10/100 m) — repos 30 s + 50 m à la suite
Retour au calme : 200 m souple (110-126 bpm)
Total : 2150 m</t>
  </si>
  <si>
    <t xml:space="preserve">Z2 62' — allure conversationnelle
FC : 127-140 bpm</t>
  </si>
  <si>
    <t xml:space="preserve">Sortie longue — 171' (80.0 km)</t>
  </si>
  <si>
    <t xml:space="preserve">171' Z2 (127-140 bpm)
Cadence 85-92 rpm
Semaine deload — volume réduit
NUTRITION : 60g glucides/h si &gt;60'</t>
  </si>
  <si>
    <t xml:space="preserve">Échauffement : 200 m souple (110-126 bpm, 2:27/100 m)
Série principale : 3 x 300 m à allure soutenue (135-148 bpm, 2:10/100 m) — repos 20 s + 200 m à la suite, même allure
Retour au calme : 200 m souple (110-126 bpm)
Consigne : allure constante sur chaque répétition ; sighting toutes les 6-8 cycles de bras
Total : 1500 m</t>
  </si>
  <si>
    <t xml:space="preserve">  S14 — 30/11/2026 → 06/12/2026   |     Phase 2 — Build</t>
  </si>
  <si>
    <t xml:space="preserve">Qualité — 12' prog + 400m/300m x4</t>
  </si>
  <si>
    <t xml:space="preserve">Objectif : VO2max et vitesse de pointe après montée progressive
6' EF Z2 (127-140 bpm)
12' progressif : EF vers Allure Marathon (155 bpm)
3' de repos
4 x 400m à 87% (169 bpm) — 1' de repos
4 x 300m à 92% (178 bpm) — 1' de repos
10' EF Z2 (127-140 bpm)</t>
  </si>
  <si>
    <t xml:space="preserve">Vélo clé — 2x25' @ 84% FTP — r=5'</t>
  </si>
  <si>
    <t xml:space="preserve">61' EF Z2 (127-140 bpm) | 2x25' @ 84% FTP — r=5'
Objectif : travailler juste sous le seuil lactique (sweet spot)
FC bloc cible : ~163 bpm (84% FC max = ton seuil lactique) | Cadence : 87-93 rpm | RPE 6-7/10
NUTRITION : 60g glucides/h si &gt;90'
10' RC (127-140 bpm)</t>
  </si>
  <si>
    <t xml:space="preserve"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</si>
  <si>
    <t xml:space="preserve">46' EF Z2 (127-140 bpm)
6x20'' accélérations en fin — allure libre
Très facile, aucune pression chrono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</si>
  <si>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15 x 100 m (135-148 bpm, 2:10/100 m) — repos 30 s + 50 m à la suite
Retour au calme : 200 m souple (110-126 bpm)
Total : 3350 m</t>
  </si>
  <si>
    <t xml:space="preserve">SORTIE LONGUE Z2 — 99' (16 km)</t>
  </si>
  <si>
    <t xml:space="preserve">Z2 99' stable (127-140 bpm)
Allure conversationnelle — cadence 170-175 spm
Gel à 45'</t>
  </si>
  <si>
    <t xml:space="preserve">Sortie longue — 268' (125.0 km)</t>
  </si>
  <si>
    <t xml:space="preserve">268' Z2 (127-140 bpm)
Cadence 85-92 rpm
NUTRITION : 60g glucides/h si &gt;60'</t>
  </si>
  <si>
    <t xml:space="preserve"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</si>
  <si>
    <t xml:space="preserve">  S15 — 07/12/2026 → 13/12/2026   |     Phase 2 — Build</t>
  </si>
  <si>
    <t xml:space="preserve">Qualité — 2x(9' + 5') @ 83/87%</t>
  </si>
  <si>
    <t xml:space="preserve">Objectif : seuil, allure marathon vers semi
12' EF Z2 (127-140 bpm)
2 x [9' à 83% FC max (161 bpm) — 1'30 de repos — 5' à 87% (169 bpm)]
3'30 de repos entre séries
8' EF Z2 (127-140 bpm)</t>
  </si>
  <si>
    <t xml:space="preserve">Vélo clé — VO2 5x4' @ 96% FTP — r=4'</t>
  </si>
  <si>
    <t xml:space="preserve">40' EF Z2 (127-140 bpm) dont 3 ouvertures de 30'' à 90% FC max | 5x4' @ 96% FTP (186 bpm en fin de répétition) — r=4' Z1 | 51' EF Z2 (127-140 bpm)
Objectif : puissance aérobie maximale (VO2max), intervalles courts
FC fin de répétition : 184-194 bpm (95-100% FC max) | Cadence : 90-100 rpm | RPE 8-9/10
NUTRITION : 60g glucides/h si &gt;90'
10' RC (127-140 bpm)</t>
  </si>
  <si>
    <t xml:space="preserve"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</si>
  <si>
    <t xml:space="preserve">56' EF Z2 (127-140 bpm)
6x20'' accélérations en fin — allure libre
Très facile, aucune pression chrono</t>
  </si>
  <si>
    <t xml:space="preserve">76'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</si>
  <si>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1100 m à allure IM, sans arrêt (135-148 bpm, 2:13/100 m) — sighting toutes les 6-8 cycles de bras
Pull buoy : 15 x 100 m (135-148 bpm, 2:10/100 m) — repos 30 s + 50 m à la suite
Retour au calme : 200 m souple (110-126 bpm)
Total : 3450 m</t>
  </si>
  <si>
    <t xml:space="preserve">SORTIE LONGUE Z2 — 105' (17 km)</t>
  </si>
  <si>
    <t xml:space="preserve">Z2 105' stable (127-140 bpm)
Allure conversationnelle — cadence 170-175 spm
Gel à 45' et 90'</t>
  </si>
  <si>
    <t xml:space="preserve">Sortie longue — 279' (130.0 km)</t>
  </si>
  <si>
    <t xml:space="preserve">279' Z2 (127-140 bpm)
Cadence 85-92 rpm
NUTRITION : 60g glucides/h si &gt;60'</t>
  </si>
  <si>
    <t xml:space="preserve"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</si>
  <si>
    <t xml:space="preserve">  S16 — 14/12/2026 → 20/12/2026   |     Phase 2 — Build</t>
  </si>
  <si>
    <t xml:space="preserve">Qualité — 20-15-10 (SV1 / SV1+ / Allure Marathon)</t>
  </si>
  <si>
    <t xml:space="preserve">Objectif : durabilité allure marathon (SV1 → SV1+) — répéter le ravitaillement : 30 g de glucides
8' EF Z2 (127-140 bpm)
20' SV1 (155-165 bpm)
3' de repos
15' SV1+ (165-171 bpm)
3' de repos
10' Allure Marathon (155-165 bpm)
6' EF Z2 (127-140 bpm)</t>
  </si>
  <si>
    <t xml:space="preserve">51' Z2 très facile (127-140 bpm) — récupération active
Cadence souple 85-90 rpm</t>
  </si>
  <si>
    <t xml:space="preserve">Vélo clé — Tempo 3x20' (147-159 bpm) — r=5'</t>
  </si>
  <si>
    <t xml:space="preserve">66' EF Z2 (127-140 bpm) | 3x20' à 147-159 bpm (76-82% FC max) — r=5'
Objectif : endurance de tempo, pont vers l'allure IM
FC bloc cible : 147-159 bpm (76-82% FC max) | Cadence : 85-92 rpm | RPE 6-7/10
NUTRITION : 60g glucides/h si &gt;90'
10' RC (127-140 bpm)</t>
  </si>
  <si>
    <t xml:space="preserve"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</si>
  <si>
    <t xml:space="preserve">62' EF Z2 (127-140 bpm)
6x20'' accélérations en fin — allure libre
Très facile, aucune pression chrono</t>
  </si>
  <si>
    <t xml:space="preserve">83'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</si>
  <si>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1200 m à allure IM, sans arrêt (135-148 bpm, 2:13/100 m) — sighting toutes les 6-8 cycles de bras
Pull buoy : 15 x 100 m (135-148 bpm, 2:10/100 m) — repos 30 s + 50 m à la suite
Retour au calme : 200 m souple (110-126 bpm)
Total : 3550 m</t>
  </si>
  <si>
    <t xml:space="preserve">SORTIE LONGUE Z2 — 111' (18 km)</t>
  </si>
  <si>
    <t xml:space="preserve">Z2 111' stable (127-140 bpm)
Allure conversationnelle — cadence 170-175 spm
Gel à 45' et 90'</t>
  </si>
  <si>
    <t xml:space="preserve">Sortie longue — 289' (135.0 km)</t>
  </si>
  <si>
    <t xml:space="preserve">289' Z2 (127-140 bpm)
Cadence 85-92 rpm
NUTRITION : 60g glucides/h si &gt;60'</t>
  </si>
  <si>
    <t xml:space="preserve"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</si>
  <si>
    <t xml:space="preserve">  S17 — 21/12/2026 → 27/12/2026   |     Paris — Vélo mar/mer + CAP jeu/ven/dim</t>
  </si>
  <si>
    <t xml:space="preserve">OFF — Paris</t>
  </si>
  <si>
    <t xml:space="preserve">Vélo clé — 2x18' @ 84% FTP — r=5'</t>
  </si>
  <si>
    <t xml:space="preserve">85' EF Z2 (127-140 bpm) | 2x18' @ 84% FTP — r=5'
Objectif : développer la puissance au seuil (FTP)
FC bloc cible : ~163 bpm (84% FC max) | Cadence : 87-93 rpm | RPE 7-8/10
NUTRITION : 60g glucides/h si &gt;90'
10' RC (127-140 bpm)</t>
  </si>
  <si>
    <t xml:space="preserve">Échauffement : 4 x 50 m facile (108-117 bpm) — repos 30 s
Éducatifs : 8 x 50 m (catch-up, finger drag, sighting) — repos 30 s
Bloc continu : 800 m à allure IM, sans arrêt (135-148 bpm, 2:13/100 m) — sighting toutes les 6-8 cycles de bras
Pull buoy : 14 x 100 m (135-148 bpm, 2:10/100 m) — repos 30 s
Retour au calme : 200 m souple (110-126 bpm)
Total : 3000 m</t>
  </si>
  <si>
    <t xml:space="preserve">Vélo Z2 — Paris</t>
  </si>
  <si>
    <t xml:space="preserve">100' Z2 (127-140 bpm) — parcours Paris, terrain plat
Cadence souple 85-90 rpm</t>
  </si>
  <si>
    <t xml:space="preserve">EF Z2 — veille Noël / Paris</t>
  </si>
  <si>
    <t xml:space="preserve">65' EF Z2 (127-140 bpm) facile — parcours Paris</t>
  </si>
  <si>
    <t xml:space="preserve">111' Z2 stable (127-140 bpm) — parcours Paris
Gel à 45' et 90'</t>
  </si>
  <si>
    <t xml:space="preserve">  S18 — 28/12/2026 → 03/01/2027   |     Semaine spé CAP — Dimanche vélo seul</t>
  </si>
  <si>
    <t xml:space="preserve">Tempo — Jog progressif 37' (version courte)</t>
  </si>
  <si>
    <t xml:space="preserve">Objectif : endurance aérobie active, allure progressive (70 → 80% FC max)
12' à 70-72% FC max (136-140 bpm)
12' à 74-77% (144-149 bpm)
13' à 78-80% (151-155 bpm)
(un seul bloc continu, la progression se fait à la FC)</t>
  </si>
  <si>
    <t xml:space="preserve">EF + côtes — 8x30''</t>
  </si>
  <si>
    <t xml:space="preserve">22' EF (127-140 bpm) | 8x30'' côtes (r=90'' trot) | 5' RC</t>
  </si>
  <si>
    <t xml:space="preserve">33' EF Z1-Z2 (120-135 bpm) — COURT
Vraie récup — pas de strides</t>
  </si>
  <si>
    <t xml:space="preserve">SORTIE LONGUE Z2 — 117' (19 km)</t>
  </si>
  <si>
    <t xml:space="preserve">117' Z2 (127-140 bpm) — allure conversationnelle
Gel à 45' et 90'
Semaine à gros volume CAP — bloc spécifique</t>
  </si>
  <si>
    <t xml:space="preserve">Échauffement : 4 x 50 m facile (108-117 bpm) — repos 30 s
Éducatifs : 8 x 50 m (catch-up, finger drag, sighting) — repos 30 s
Bloc continu : 1000 m à allure IM, sans arrêt (135-148 bpm, 2:13/100 m) — sighting toutes les 6-8 cycles de bras
Pull buoy : 17 x 100 m (135-148 bpm, 2:10/100 m) — repos 30 s
Retour au calme : 200 m souple (110-126 bpm)
Total : 3500 m</t>
  </si>
  <si>
    <t xml:space="preserve">Vélo récup Z2 post-semaine CAP</t>
  </si>
  <si>
    <t xml:space="preserve">150' Z2 (127-140 bpm)
Cadence 85-92 rpm
Semaine deload — volume réduit
NUTRITION : 60g glucides/h si &gt;60'</t>
  </si>
  <si>
    <t xml:space="preserve">  S19 — 04/01/2027 → 10/01/2027   |     Phase 3 — Pré-IM</t>
  </si>
  <si>
    <t xml:space="preserve">Objectif : seuil, allure marathon vers semi
16' EF Z2 (127-140 bpm)
2 x [9' à 83% FC max (161 bpm) — 1'30 de repos — 5' à 87% (169 bpm)]
3'30 de repos entre séries
10' EF Z2 (127-140 bpm)</t>
  </si>
  <si>
    <t xml:space="preserve">Vélo clé — 2x28' @ 84% FTP — r=5'</t>
  </si>
  <si>
    <t xml:space="preserve">53' EF Z2 (127-140 bpm) | 2x28' @ 84% FTP — r=5'
Objectif : travailler juste sous le seuil lactique (sweet spot)
FC bloc cible : ~163 bpm (84% FC max = ton seuil lactique) | Cadence : 87-93 rpm | RPE 6-7/10
NUTRITION : 70g glucides/h si &gt;90'
10' RC (127-140 bpm)</t>
  </si>
  <si>
    <t xml:space="preserve">62' EF Z2 (127-140 bpm)
Allure facile, cadence naturelle</t>
  </si>
  <si>
    <t xml:space="preserve">Natation récupération</t>
  </si>
  <si>
    <t xml:space="preserve">Échauffement : 200 m souple (110-126 bpm)
Série : 16 x 100 m technique, nage relâchée (110-120 bpm) — repos 30 s + 50 m souple
Retour au calme : 50 m souple
Consigne : séance de récupération : relâchement, amplitude, aucune recherche de vitesse
Total : 1900 m</t>
  </si>
  <si>
    <t xml:space="preserve">61'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</si>
  <si>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1200 m à allure IM, sans arrêt (135-148 bpm, 2:11/100 m) — sighting toutes les 6-8 cycles de bras
Pull buoy : 10 x 100 m (135-148 bpm, 2:08/100 m) — repos 30 s
Retour au calme : 200 m souple (110-126 bpm)
Total : 3000 m</t>
  </si>
  <si>
    <t xml:space="preserve">SORTIE LONGUE Z2 + fin Z3 — 117' (19 km)</t>
  </si>
  <si>
    <t xml:space="preserve">107' Z2 (127-140 bpm) | 8' Z3 bas (141-150 bpm) | 2' RC
FC &lt; 141 bpm sur 85% du temps
Nutrition : gel à 45' et 90'</t>
  </si>
  <si>
    <t xml:space="preserve">Sortie longue — 257' (120.0 km)</t>
  </si>
  <si>
    <t xml:space="preserve">257' Z2 (127-140 bpm)
Cadence 85-92 rpm
NUTRITION : 70g glucides/h si &gt;60'</t>
  </si>
  <si>
    <t xml:space="preserve">CAP en Brick — 15'</t>
  </si>
  <si>
    <t xml:space="preserve">Transition directe après vélo — 15' @ Z2-Z3 (127-155 bpm)
Adaptation transition vélo→CAP</t>
  </si>
  <si>
    <t xml:space="preserve">Échauffement : 200 m souple (110-126 bpm, 2:25/100 m) puis 8 x 50 m progressif (du souple au soutenu) — repos 15 s
Test 1 : 400 m à fond, chrono à noter — puis 200 m très souple
Test 2 : 200 m à fond, chrono à noter
Série soutenue : 5 x 100 m à allure soutenue (135-148 bpm, 2:08/100 m) — repos 15 s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2100 m</t>
  </si>
  <si>
    <t xml:space="preserve">  S20 — 11/01/2027 → 17/01/2027   |     Phase 3 — Pré-IM</t>
  </si>
  <si>
    <t xml:space="preserve">Vélo clé — Bloc allure IM 2x30' (136-146 bpm) — r=5'</t>
  </si>
  <si>
    <t xml:space="preserve">56' EF Z2 (127-140 bpm) | 2x30' allure IM (136-146 bpm, 70-75% FC max) — r=5'
Objectif : spécificité Ironman : rouler à l'effort de course et répéter le ravitaillement
FC bloc cible : 136-146 bpm (70-75% FC max) | Cadence : 85-92 rpm | RPE 5-6/10
NUTRITION : 70g glucides/h si &gt;90'
10' RC (127-140 bpm)</t>
  </si>
  <si>
    <t xml:space="preserve">65' EF Z2 (127-140 bpm)
Allure facile, cadence naturelle</t>
  </si>
  <si>
    <t xml:space="preserve">Échauffement : 200 m souple (110-126 bpm)
Série : 18 x 100 m technique, nage relâchée (110-120 bpm) — repos 30 s + 50 m souple
Retour au calme : 50 m souple
Consigne : séance de récupération : relâchement, amplitude, aucune recherche de vitesse
Total : 2100 m</t>
  </si>
  <si>
    <t xml:space="preserve">65'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</si>
  <si>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1400 m à allure IM, sans arrêt (135-148 bpm, 2:11/100 m) — sighting toutes les 6-8 cycles de bras
Pull buoy : 11 x 100 m (135-148 bpm, 2:08/100 m) — repos 30 s + 50 m à la suite
Retour au calme : 200 m souple (110-126 bpm)
Total : 3350 m</t>
  </si>
  <si>
    <t xml:space="preserve">SORTIE LONGUE Z2 — 123' (20 km)</t>
  </si>
  <si>
    <t xml:space="preserve">123' Z2 (127-140 bpm) — allure conversationnelle
Cadence régulière
Gel à 45' et 90'</t>
  </si>
  <si>
    <t xml:space="preserve">279' Z2 (127-140 bpm)
Cadence 85-92 rpm
NUTRITION : 70g glucides/h si &gt;60'</t>
  </si>
  <si>
    <t xml:space="preserve">CAP en Brick — 20'</t>
  </si>
  <si>
    <t xml:space="preserve">Transition directe après vélo — 20' @ Z2-Z3 (127-155 bpm)
Adaptation transition vélo→CAP</t>
  </si>
  <si>
    <t xml:space="preserve">Échauffement : 200 m souple (110-126 bpm, 2:25/100 m)
Série principale : 6 x 300 m à allure soutenue (135-148 bpm, 2:08/100 m) — repos 20 s + 150 m à la suite, même allure
Retour au calme : 200 m souple (110-126 bpm)
Consigne : allure constante sur chaque répétition ; sighting toutes les 6-8 cycles de bras
Total : 2350 m</t>
  </si>
  <si>
    <t xml:space="preserve">  S21 — 18/01/2027 → 24/01/2027   |     Phase 3 — Pré-IM</t>
  </si>
  <si>
    <t xml:space="preserve">Qualité — 25-15-10 (SV1 / SV1+ / Allure Marathon)</t>
  </si>
  <si>
    <t xml:space="preserve">Objectif : durabilité allure marathon (SV1 → SV1+) — répéter le ravitaillement : 30 g de glucides
8' EF Z2 (127-140 bpm)
25' SV1 (155-165 bpm)
3' de repos
15' SV1+ (165-171 bpm)
3' de repos
10' Allure Marathon (155-165 bpm)
6' EF Z2 (127-140 bpm)</t>
  </si>
  <si>
    <t xml:space="preserve">54' Z2 très facile (127-140 bpm) — récupération active
Cadence souple 85-90 rpm</t>
  </si>
  <si>
    <t xml:space="preserve">Vélo clé — 2x30' @ 84% FTP — r=5'</t>
  </si>
  <si>
    <t xml:space="preserve">62' EF Z2 (127-140 bpm) | 2x30' @ 84% FTP — r=5'
Objectif : travailler juste sous le seuil lactique (sweet spot)
FC bloc cible : ~163 bpm (84% FC max = ton seuil lactique) | Cadence : 87-93 rpm | RPE 6-7/10
NUTRITION : 70g glucides/h si &gt;90'
10' RC (127-140 bpm)</t>
  </si>
  <si>
    <t xml:space="preserve">71' EF Z2 (127-140 bpm)
Allure facile, cadence naturelle</t>
  </si>
  <si>
    <t xml:space="preserve">Échauffement : 200 m souple (110-126 bpm)
Série : 20 x 100 m technique, nage relâchée (110-120 bpm) — repos 30 s
Retour au calme : 50 m souple
Consigne : séance de récupération : relâchement, amplitude, aucune recherche de vitesse
Total : 2250 m</t>
  </si>
  <si>
    <t xml:space="preserve">72'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</si>
  <si>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1500 m à allure IM, sans arrêt (135-148 bpm, 2:11/100 m) — sighting toutes les 6-8 cycles de bras
Pull buoy : 12 x 100 m (135-148 bpm, 2:08/100 m) — repos 30 s + 50 m à la suite
Retour au calme : 200 m souple (110-126 bpm)
Total : 3550 m</t>
  </si>
  <si>
    <t xml:space="preserve">SORTIE LONGUE Z2 + fin Z3 — 130' (21 km)</t>
  </si>
  <si>
    <t xml:space="preserve">120' Z2 (127-140 bpm) | 8' Z3 bas (141-150 bpm) | 2' RC
FC &lt; 141 bpm sur 85% du temps
Nutrition : gel à 45' et 90'</t>
  </si>
  <si>
    <t xml:space="preserve">Sortie longue — 296' (138.0 km)</t>
  </si>
  <si>
    <t xml:space="preserve">296' Z2 (127-140 bpm)
Cadence 85-92 rpm
NUTRITION : 70g glucides/h si &gt;60'</t>
  </si>
  <si>
    <t xml:space="preserve">Échauffement : 200 m souple (110-126 bpm, 2:25/100 m)
Série seuil : 10 x 100 m à l'allure CSS (150-160 bpm, 2:05/100 m) — repos 15 s
Série soutenue : 5 x 200 m à allure soutenue (135-148 bpm, 2:08/100 m) — repos 20 s + 100 m à la suite, même allure
Retour au calme : 200 m souple (110-126 bpm)
Consigne : seuil = effort dur mais régulier, même chrono sur chaque 100 m ; sighting toutes les 6-8 cycles de bras
Total : 2500 m</t>
  </si>
  <si>
    <t xml:space="preserve">  S22 — 25/01/2027 → 31/01/2027   |     Phase 3 — WE Paris Anniversaire (Deload)</t>
  </si>
  <si>
    <t xml:space="preserve">Qualité — 10-10-5 (SV1 / SV1+ / Allure Marathon) — décharge</t>
  </si>
  <si>
    <t xml:space="preserve">Objectif : durabilité allure marathon (SV1 → SV1+) — répéter le ravitaillement : 30 g de glucides
9' EF Z2 (127-140 bpm)
10' SV1 (155-165 bpm)
3' de repos
10' SV1+ (165-171 bpm)
3' de repos
5' Allure Marathon (155-165 bpm)
6' EF Z2 (127-140 bpm)
Décharge : même type de séance que le bloc précédent, volume de qualité réduit</t>
  </si>
  <si>
    <t xml:space="preserve">39' Z2 très facile (127-140 bpm) — récupération active
Cadence souple 85-90 rpm</t>
  </si>
  <si>
    <t xml:space="preserve">Vélo clé — 2x20' @ 82% FTP — r=5'</t>
  </si>
  <si>
    <t xml:space="preserve">35' EF Z2 (127-140 bpm) | 2x20' @ 82% FTP — r=5'
Objectif : développer la puissance au seuil (FTP)
FC bloc cible : ~159 bpm (82% FC max) | Cadence : 87-93 rpm | RPE 7-8/10
NUTRITION : 70g glucides/h si &gt;90'
10' RC (127-140 bpm)</t>
  </si>
  <si>
    <t xml:space="preserve">46' EF Z2 (127-140 bpm) | 4x20'' strides
Jamais &gt; Z2</t>
  </si>
  <si>
    <t xml:space="preserve">Échauffement : 200 m souple (110-126 bpm)
Série : 21 x 100 m technique, nage relâchée (110-120 bpm) — repos 30 s + 50 m souple
Retour au calme : 50 m souple
Consigne : séance de récupération : relâchement, amplitude, aucune recherche de vitesse
Total : 2400 m</t>
  </si>
  <si>
    <t xml:space="preserve">40'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</si>
  <si>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1000 m à allure IM, sans arrêt (135-148 bpm, 2:11/100 m) — sighting toutes les 6-8 cycles de bras
Pull buoy : 12 x 100 m (135-148 bpm, 2:08/100 m) — repos 30 s
Retour au calme : 200 m souple (110-126 bpm)
Total : 3000 m</t>
  </si>
  <si>
    <t xml:space="preserve">Z2 86' — allure conversationnelle
FC : 127-140 bpm</t>
  </si>
  <si>
    <t xml:space="preserve">Sortie longue — 193' (90.0 km)</t>
  </si>
  <si>
    <t xml:space="preserve">193' Z2 (127-140 bpm)
Cadence 85-92 rpm
Semaine deload — volume réduit
NUTRITION : 70g glucides/h si &gt;60'</t>
  </si>
  <si>
    <t xml:space="preserve">  S23 — 01/02/2027 → 07/02/2027   |     Phase 3 — Pré-IM</t>
  </si>
  <si>
    <t xml:space="preserve">Qualité — 2km/1km x3 (Allure Marathon)</t>
  </si>
  <si>
    <t xml:space="preserve">Objectif : allure marathon spécifique Ironman, relances sans récupération
13' EF Z2 (127-140 bpm)
3 x [2 km à 85% FC max (165 bpm) + 1 km à 80% (155 bpm)]
enchaînés, sans récupération
8' EF Z2 (127-140 bpm)</t>
  </si>
  <si>
    <t xml:space="preserve">Vélo clé — Seuil 3x12' @ 87% FTP — r=5'</t>
  </si>
  <si>
    <t xml:space="preserve">85' EF Z2 (127-140 bpm) | 3x12' @ 87% FTP — r=5'
Objectif : élever le seuil (blocs courts à intensité haute)
FC bloc cible : ~169 bpm (87% FC max, 6 bpm au-dessus de ton seuil lactique de 163) | Cadence : 88-95 rpm | RPE 8/10
NUTRITION : 70g glucides/h si &gt;90'
10' RC (127-140 bpm)</t>
  </si>
  <si>
    <t xml:space="preserve">74' EF Z2 (127-140 bpm)
Allure facile, cadence naturelle</t>
  </si>
  <si>
    <t xml:space="preserve">74'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</si>
  <si>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1600 m à allure IM, sans arrêt (135-148 bpm, 2:11/100 m) — sighting toutes les 6-8 cycles de bras
Pull buoy : 12 x 100 m (135-148 bpm, 2:08/100 m) — repos 30 s
Retour au calme : 200 m souple (110-126 bpm)
Total : 3600 m</t>
  </si>
  <si>
    <t xml:space="preserve">SORTIE LONGUE Z2 + fin Z3 — 136' (22 km)</t>
  </si>
  <si>
    <t xml:space="preserve">126' Z2 (127-140 bpm) | 8' Z3 bas (141-150 bpm) | 2' RC
FC &lt; 141 bpm sur 85% du temps
Nutrition : gel à 45' et 90'</t>
  </si>
  <si>
    <t xml:space="preserve">Sortie longue — 300' (140.0 km)</t>
  </si>
  <si>
    <t xml:space="preserve">300' Z2 (127-140 bpm)
Cadence 85-92 rpm
NUTRITION : 70g glucides/h si &gt;60'</t>
  </si>
  <si>
    <t xml:space="preserve">Échauffement : 200 m souple (110-126 bpm, 2:25/100 m)
Série principale : 7 x 300 m à allure soutenue (135-148 bpm, 2:08/100 m) — repos 20 s + 50 m à la suite, même allure
Retour au calme : 200 m souple (110-126 bpm)
Consigne : allure constante sur chaque répétition ; sighting toutes les 6-8 cycles de bras
Total : 2550 m</t>
  </si>
  <si>
    <t xml:space="preserve">  S24 — 08/02/2027 → 14/02/2027   |     Phase 3 — WE Paris 13/02</t>
  </si>
  <si>
    <t xml:space="preserve">Qualité — 2km/1km x4 (Allure Marathon)</t>
  </si>
  <si>
    <t xml:space="preserve">Objectif : allure marathon spécifique Ironman, relances sans récupération
13' EF Z2 (127-140 bpm)
4 x [2 km à 85% FC max (165 bpm) + 1 km à 80% (155 bpm)]
enchaînés, sans récupération
8' EF Z2 (127-140 bpm)</t>
  </si>
  <si>
    <t xml:space="preserve">56' Z2 très facile (127-140 bpm) — récupération active
Cadence souple 85-90 rpm</t>
  </si>
  <si>
    <t xml:space="preserve">Natation endurance (optionnelle)</t>
  </si>
  <si>
    <t xml:space="preserve">Échauffement : 200 m souple (110-126 bpm, 2:25/100 m)
Série principale : 7 x 300 m à allure soutenue (135-148 bpm, 2:08/100 m) — repos 20 s
Retour au calme : 200 m souple (110-126 bpm)
Consigne : allure constante sur chaque répétition ; sighting toutes les 6-8 cycles de bras
Total : 2500 m</t>
  </si>
  <si>
    <t xml:space="preserve">Vélo clé — VO2 6x4' @ 96% FTP — r=4'</t>
  </si>
  <si>
    <t xml:space="preserve">40' EF Z2 (127-140 bpm) dont 3 ouvertures de 30'' à 90% FC max | 6x4' @ 96% FTP (186 bpm en fin de répétition) — r=4' Z1 | 56' EF Z2 (127-140 bpm)
Objectif : puissance aérobie maximale (VO2max), intervalles courts
FC fin de répétition : 184-194 bpm (95-100% FC max) | Cadence : 90-100 rpm | RPE 8-9/10
NUTRITION : 70g glucides/h si &gt;90'
10' RC (127-140 bpm)</t>
  </si>
  <si>
    <t xml:space="preserve">89' EF Z2 (127-140 bpm)
Allure facile, cadence naturelle</t>
  </si>
  <si>
    <t xml:space="preserve">Échauffement : 200 m souple (110-126 bpm)
Série : 22 x 100 m technique, nage relâchée (110-120 bpm) — repos 30 s + 50 m souple
Retour au calme : 50 m souple
Consigne : séance de récupération : relâchement, amplitude, aucune recherche de vitesse
Total : 2500 m</t>
  </si>
  <si>
    <t xml:space="preserve">80' EF (127-140 bpm) | 5x4' basse cadence (55-62 rpm) @ Z2 — r=3'
Objectif : force musculaire spécifique, économie de pédalage
FC : 131-155 bpm | RPE 6-7/10
10' RC (127-140 bpm)</t>
  </si>
  <si>
    <t xml:space="preserve">SORTIE LONGUE Z2 — 142' (23 km)</t>
  </si>
  <si>
    <t xml:space="preserve">142' Z2 (127-140 bpm) — allure conversationnelle
Cadence régulière
Gel à 45' et 90'</t>
  </si>
  <si>
    <t xml:space="preserve">Sortie longue — 311' (145.0 km)</t>
  </si>
  <si>
    <t xml:space="preserve">311' Z2 (127-140 bpm)
Cadence 85-92 rpm
NUTRITION : 70g glucides/h si &gt;60'</t>
  </si>
  <si>
    <t xml:space="preserve">  S25 — 15/02/2027 → 21/02/2027   |     Phase 4 — Spécifique IM</t>
  </si>
  <si>
    <t xml:space="preserve">Qualité — Pyramide 400-300-200-100m x5</t>
  </si>
  <si>
    <t xml:space="preserve">Objectif : vélocité et économie de course (fractions courtes)
15' EF Z2 (127-140 bpm)
400m à 80% (155 bpm)
400m à 87% (169 bpm)
300m à 80% (155 bpm)
300m à 90% (175 bpm)
200m à 80% (155 bpm)
200m à 92% (178 bpm)
100m à 80% (155 bpm)
100m à 95% (184 bpm)
x5 avec 3' de repos entre séries
10' EF Z2 (127-140 bpm)</t>
  </si>
  <si>
    <t xml:space="preserve">58' Z2 très facile (127-140 bpm) — récupération active
Cadence souple 85-90 rpm</t>
  </si>
  <si>
    <t xml:space="preserve">Vélo clé — 2x33' @ 84% FTP — r=5'</t>
  </si>
  <si>
    <t xml:space="preserve">78' EF Z2 (127-140 bpm) | 2x33' @ 84% FTP — r=5'
Objectif : travailler juste sous le seuil lactique (sweet spot)
FC bloc cible : ~163 bpm (84% FC max = ton seuil lactique) | Cadence : 87-93 rpm | RPE 6-7/10
NUTRITION : 80g glucides/h si &gt;90'
10' RC (127-140 bpm)</t>
  </si>
  <si>
    <t xml:space="preserve">83' EF Z2 (127-140 bpm)
Allure facile, cadence naturelle</t>
  </si>
  <si>
    <t xml:space="preserve">Échauffement : 200 m souple (110-126 bpm)
Série : 20 x 100 m technique, nage relâchée (110-120 bpm) — repos 30 s + 50 m souple
Retour au calme : 50 m souple
Consigne : séance de récupération : relâchement, amplitude, aucune recherche de vitesse
Total : 2300 m</t>
  </si>
  <si>
    <t xml:space="preserve">89'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</si>
  <si>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1800 m à allure IM, sans arrêt (135-148 bpm, 2:09/100 m) — sighting toutes les 6-8 cycles de bras
Pull buoy : 11 x 100 m (135-148 bpm, 2:06/100 m) — repos 30 s
Retour au calme : 200 m souple (110-126 bpm)
Total : 3700 m</t>
  </si>
  <si>
    <t xml:space="preserve">SORTIE LONGUE Z2 + fin Z3 — 148' (24 km)</t>
  </si>
  <si>
    <t xml:space="preserve">128' Z2 (127-140 bpm) | 15' allure IM (145-155 bpm) | 5' Z2 retour au calme
Bloc Z3 dans le dernier tiers, jambes fatiguées : c'est la fatigue qui fait le travail, pas la vitesse
Nutrition : gel à 45', 90' et 135'</t>
  </si>
  <si>
    <t xml:space="preserve">Sortie longue — 321' (150.0 km)</t>
  </si>
  <si>
    <t xml:space="preserve">321' Z2 (127-140 bpm)
Cadence 85-92 rpm
NUTRITION : 80g glucides/h si &gt;60'</t>
  </si>
  <si>
    <t xml:space="preserve">CAP en Brick — 25'</t>
  </si>
  <si>
    <t xml:space="preserve">Transition directe après vélo — 25' @ Z2-Z3 (127-155 bpm)
Adaptation transition vélo→CAP</t>
  </si>
  <si>
    <t xml:space="preserve">Échauffement : 200 m souple (110-126 bpm, 2:23/100 m)
Série seuil : 10 x 100 m à l'allure CSS (150-160 bpm, 2:03/100 m) — repos 15 s
Série soutenue : 6 x 200 m à allure soutenue (135-148 bpm, 2:06/100 m) — repos 20 s
Retour au calme : 200 m souple (110-126 bpm)
Consigne : seuil = effort dur mais régulier, même chrono sur chaque 100 m ; sighting toutes les 6-8 cycles de bras
Total : 2600 m</t>
  </si>
  <si>
    <t xml:space="preserve">  S26 — 22/02/2027 → 28/02/2027   |     Phase 4 — Spécifique IM</t>
  </si>
  <si>
    <t xml:space="preserve">Qualité — 3000m progressif x4 (83→90%)</t>
  </si>
  <si>
    <t xml:space="preserve">Objectif : puissance aérobie, seuil SV2 (blocs longs progressifs)
13' EF Z2 (127-140 bpm) + 2-3 lignes droites
3000m à 83% (161 bpm)
3000m à 85% (165 bpm)
3000m à 87% (169 bpm)
3000m à 90% (175 bpm)
4' de repos entre reps
9' EF Z2 (127-140 bpm)</t>
  </si>
  <si>
    <t xml:space="preserve">60' Z2 très facile (127-140 bpm) — récupération active
Cadence souple 85-90 rpm</t>
  </si>
  <si>
    <t xml:space="preserve">Vélo clé — Bloc allure IM 2x40' (136-146 bpm) — r=5'</t>
  </si>
  <si>
    <t xml:space="preserve">72' EF Z2 (127-140 bpm) | 2x40' allure IM (136-146 bpm, 70-75% FC max) — r=5'
Objectif : spécificité Ironman : rouler à l'effort de course et répéter le ravitaillement
FC bloc cible : 136-146 bpm (70-75% FC max) | Cadence : 85-92 rpm | RPE 5-6/10
NUTRITION : 80g glucides/h si &gt;90'
10' RC (127-140 bpm)</t>
  </si>
  <si>
    <t xml:space="preserve">92' EF Z2 (127-140 bpm)
Allure facile, cadence naturelle</t>
  </si>
  <si>
    <t xml:space="preserve">Échauffement : 200 m souple (110-126 bpm)
Série : 22 x 100 m technique, nage relâchée (110-120 bpm) — repos 30 s
Retour au calme : 50 m souple
Consigne : séance de récupération : relâchement, amplitude, aucune recherche de vitesse
Total : 2450 m</t>
  </si>
  <si>
    <t xml:space="preserve">95' EF (127-140 bpm) | 5x4'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</si>
  <si>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10 x 100 m (135-148 bpm, 2:06/100 m) — repos 30 s + 50 m à la suite
Retour au calme : 200 m souple (110-126 bpm)
Total : 3850 m</t>
  </si>
  <si>
    <t xml:space="preserve">SORTIE LONGUE Z2 — 154' (25 km)</t>
  </si>
  <si>
    <t xml:space="preserve">154' Z2 (127-140 bpm) — allure conversationnelle
Cadence régulière
Gel à 45', 90' et 135'</t>
  </si>
  <si>
    <t xml:space="preserve">Sortie longue — 332' (155.0 km)</t>
  </si>
  <si>
    <t xml:space="preserve">332' Z2 (127-140 bpm)
Cadence 85-92 rpm
NUTRITION : 80g glucides/h si &gt;60'</t>
  </si>
  <si>
    <t xml:space="preserve">Échauffement : 200 m souple (110-126 bpm, 2:23/100 m)
Série principale : 7 x 300 m à allure soutenue (135-148 bpm, 2:06/100 m) — repos 20 s + 200 m à la suite, même allure
Retour au calme : 200 m souple (110-126 bpm)
Consigne : allure constante sur chaque répétition ; sighting toutes les 6-8 cycles de bras
Total : 2700 m</t>
  </si>
  <si>
    <t xml:space="preserve">  S27 — 01/03/2027 → 07/03/2027   |     Semaine Ski Alpin</t>
  </si>
  <si>
    <t xml:space="preserve">Voyage / Installation</t>
  </si>
  <si>
    <t xml:space="preserve">Voyage aller — repos complet</t>
  </si>
  <si>
    <t xml:space="preserve">Ski</t>
  </si>
  <si>
    <t xml:space="preserve">Ski alpin</t>
  </si>
  <si>
    <t xml:space="preserve">Aérobie</t>
  </si>
  <si>
    <t xml:space="preserve">Journée ski alpin
Proprioception, gainage, cardio, force
Récupération mentale — pas de triathlon</t>
  </si>
  <si>
    <t xml:space="preserve">Retour / Repos</t>
  </si>
  <si>
    <t xml:space="preserve">Voyage retour — repos
Jambes chargées — reprise douce</t>
  </si>
  <si>
    <t xml:space="preserve">  S28 — 08/03/2027 → 14/03/2027   |     Transition post-ski</t>
  </si>
  <si>
    <t xml:space="preserve">Tempo — Jog progressif 66'</t>
  </si>
  <si>
    <t xml:space="preserve">Objectif : endurance aérobie active, allure progressive (70 → 80% FC max)
22' à 70-72% FC max (136-140 bpm)
22' à 74-77% (144-149 bpm)
22' à 78-80% (151-155 bpm)
(un seul bloc continu, la progression se fait à la FC)</t>
  </si>
  <si>
    <t xml:space="preserve">Vélo Z2 — reprise en douceur</t>
  </si>
  <si>
    <t xml:space="preserve">124' Z2 (127-140 bpm) — pas de bloc FTP cette semaine (reprise post-ski)
Cadence souple 85-90 rpm
NUTRITION : 80g glucides/h si &gt;90'</t>
  </si>
  <si>
    <t xml:space="preserve">68' EF Z2 (127-140 bpm)
Allure facile, cadence naturelle</t>
  </si>
  <si>
    <t xml:space="preserve">Vélo Z2 — facile</t>
  </si>
  <si>
    <t xml:space="preserve">103' Z2 très facile (127-140 bpm) — pas de travail de force cette semaine
Cadence souple 85-90 rpm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</si>
  <si>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7 x 100 m (135-148 bpm, 2:06/100 m) — repos 30 s
Retour au calme : 200 m souple (110-126 bpm)
Total : 3000 m</t>
  </si>
  <si>
    <t xml:space="preserve">123' Z2 (127-140 bpm)
Allure conversationnelle — reprise, pas de surge Z3
Gel à 45' et 90'</t>
  </si>
  <si>
    <t xml:space="preserve">257' Z2 (127-140 bpm)
Cadence 85-92 rpm
NUTRITION : 80g glucides/h si &gt;60'</t>
  </si>
  <si>
    <t xml:space="preserve">Échauffement : 200 m souple (110-126 bpm, 2:23/100 m)
Série principale : 5 x 300 m à allure soutenue (135-148 bpm, 2:06/100 m) — repos 20 s + 200 m à la suite, même allure
Retour au calme : 200 m souple (110-126 bpm)
Consigne : allure constante sur chaque répétition ; sighting toutes les 6-8 cycles de bras
Total : 2100 m</t>
  </si>
  <si>
    <t xml:space="preserve">  S29 — 15/03/2027 → 21/03/2027   |     Phase 4 — Spécifique IM</t>
  </si>
  <si>
    <t xml:space="preserve">Qualité — 30-20-10 (SV1 / SV1+ / Allure Marathon)</t>
  </si>
  <si>
    <t xml:space="preserve">Objectif : durabilité allure marathon (SV1 → SV1+) — répéter le ravitaillement : 30 g de glucides
8' EF Z2 (127-140 bpm)
30' SV1 (155-165 bpm)
3' de repos
20' SV1+ (165-171 bpm)
3' de repos
10' Allure Marathon (155-165 bpm)
6' EF Z2 (127-140 bpm)</t>
  </si>
  <si>
    <t xml:space="preserve">71' EF Z2 (127-140 bpm) | 2x30' @ 84% FTP — r=5'
Objectif : travailler juste sous le seuil lactique (sweet spot)
FC bloc cible : ~163 bpm (84% FC max = ton seuil lactique) | Cadence : 87-93 rpm | RPE 6-7/10
NUTRITION : 80g glucides/h si &gt;90'
10' RC (127-140 bpm)</t>
  </si>
  <si>
    <t xml:space="preserve">80' EF Z2 (127-140 bpm)
Allure facile, cadence naturelle</t>
  </si>
  <si>
    <t xml:space="preserve">Échauffement : 200 m souple (110-126 bpm)
Série : 19 x 100 m technique, nage relâchée (110-120 bpm) — repos 30 s + 50 m souple
Retour au calme : 50 m souple
Consigne : séance de récupération : relâchement, amplitude, aucune recherche de vitesse
Total : 2200 m</t>
  </si>
  <si>
    <t xml:space="preserve">40' EF Z1-Z2 (120-135 bpm) — COURT
Vraie récup — pas de strides</t>
  </si>
  <si>
    <t xml:space="preserve">73' EF (127-140 bpm) | 5x5'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</si>
  <si>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7 x 100 m (135-148 bpm, 2:06/100 m) — repos 30 s + 50 m à la suite
Retour au calme : 200 m souple (110-126 bpm)
Total : 3550 m</t>
  </si>
  <si>
    <t xml:space="preserve">SORTIE LONGUE Z2 + fin Z3 — 142' (23 km)</t>
  </si>
  <si>
    <t xml:space="preserve">117' Z2 (127-140 bpm) | 20' allure IM (145-155 bpm) | 5' Z2 retour au calme
Bloc Z3 dans le dernier tiers, jambes fatiguées : c'est la fatigue qui fait le travail, pas la vitesse
Gel à 45' et 90'</t>
  </si>
  <si>
    <t xml:space="preserve">300' Z2 (127-140 bpm)
Cadence 85-92 rpm
NUTRITION : 80g glucides/h si &gt;60'</t>
  </si>
  <si>
    <t xml:space="preserve">Échauffement : 200 m souple (110-126 bpm, 2:23/100 m) puis 8 x 50 m progressif (du souple au soutenu) — repos 15 s
Test 1 : 400 m à fond, chrono à noter — puis 200 m très souple
Test 2 : 200 m à fond, chrono à noter
Série soutenue : 8 x 100 m à allure soutenue (135-148 bpm, 2:06/100 m) — repos 15 s + 50 m souple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2450 m</t>
  </si>
  <si>
    <t xml:space="preserve">  S30 — 22/03/2027 → 28/03/2027   |     Phase 4 — Spécifique IM (Deload)</t>
  </si>
  <si>
    <t xml:space="preserve">Qualité — 15-10-5 (SV1 / SV1+ / Allure Marathon) — décharge</t>
  </si>
  <si>
    <t xml:space="preserve">Objectif : durabilité allure marathon (SV1 → SV1+) — répéter le ravitaillement : 30 g de glucides
14' EF Z2 (127-140 bpm)
15' SV1 (155-165 bpm)
3' de repos
10' SV1+ (165-171 bpm)
3' de repos
5' Allure Marathon (155-165 bpm)
10' EF Z2 (127-140 bpm)
Décharge : même type de séance que le bloc précédent, volume de qualité réduit</t>
  </si>
  <si>
    <t xml:space="preserve">39' EF Z2 (127-140 bpm) | 2x20' @ 82% FTP — r=5'
Objectif : développer la puissance au seuil (FTP)
FC bloc cible : ~159 bpm (82% FC max) | Cadence : 87-93 rpm | RPE 7-8/10
NUTRITION : 80g glucides/h si &gt;90'
10' RC (127-140 bpm)</t>
  </si>
  <si>
    <t xml:space="preserve">59' EF Z2 (127-140 bpm) | 4x20'' strides
Jamais &gt; Z2</t>
  </si>
  <si>
    <t xml:space="preserve">Échauffement : 200 m souple (110-126 bpm)
Série : 13 x 100 m technique, nage relâchée (110-120 bpm) — repos 30 s
Retour au calme : 50 m souple
Consigne : séance de récupération : relâchement, amplitude, aucune recherche de vitesse
Total : 1550 m</t>
  </si>
  <si>
    <t xml:space="preserve">42'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</si>
  <si>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1200 m à allure IM, sans arrêt (135-148 bpm, 2:09/100 m) — sighting toutes les 6-8 cycles de bras
Pull buoy : 5 x 100 m (135-148 bpm, 2:06/100 m) — repos 30 s
Retour au calme : 200 m souple (110-126 bpm)
Total : 2500 m</t>
  </si>
  <si>
    <t xml:space="preserve">Z2 105' — allure conversationnelle
FC : 127-140 bpm
Gel à 45' et 90'</t>
  </si>
  <si>
    <t xml:space="preserve">214' Z2 (127-140 bpm)
Cadence 85-92 rpm
Semaine deload — volume réduit
NUTRITION : 80g glucides/h si &gt;60'</t>
  </si>
  <si>
    <t xml:space="preserve">Échauffement : 200 m souple (110-126 bpm, 2:23/100 m)
Série principale : 4 x 300 m à allure soutenue (135-148 bpm, 2:06/100 m) — repos 20 s + 150 m à la suite, même allure
Retour au calme : 200 m souple (110-126 bpm)
Consigne : allure constante sur chaque répétition ; sighting toutes les 6-8 cycles de bras
Total : 1750 m</t>
  </si>
  <si>
    <t xml:space="preserve">  S31 — 29/03/2027 → 04/04/2027   |     Phase 4 — Spécifique IM</t>
  </si>
  <si>
    <t xml:space="preserve">Objectif : allure marathon spécifique Ironman, relances sans récupération
11' EF Z2 (127-140 bpm)
4 x [2 km à 85% FC max (165 bpm) + 1 km à 80% (155 bpm)]
enchaînés, sans récupération
7' EF Z2 (127-140 bpm)</t>
  </si>
  <si>
    <t xml:space="preserve">Vélo clé — Bloc allure IM 3x25' (136-146 bpm) — r=5'</t>
  </si>
  <si>
    <t xml:space="preserve">55' EF Z2 (127-140 bpm) | 3x25' allure IM (136-146 bpm, 70-75% FC max) — r=5'
Objectif : spécificité Ironman : rouler à l'effort de course et répéter le ravitaillement
FC bloc cible : 136-146 bpm (70-75% FC max) | Cadence : 85-92 rpm | RPE 5-6/10
NUTRITION : 80g glucides/h si &gt;90'
10' RC (127-140 bpm)</t>
  </si>
  <si>
    <t xml:space="preserve">75' EF (127-140 bpm) | 5x5'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</si>
  <si>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2200 m à allure IM, sans arrêt (135-148 bpm, 2:09/100 m) — sighting toutes les 6-8 cycles de bras
Pull buoy : 7 x 100 m (135-148 bpm, 2:06/100 m) — repos 30 s
Retour au calme : 200 m souple (110-126 bpm)
Total : 3700 m</t>
  </si>
  <si>
    <t xml:space="preserve">SORTIE LONGUE Z2 + fin Z3 — 154' (25 km)</t>
  </si>
  <si>
    <t xml:space="preserve">129' Z2 (127-140 bpm) | 20' allure IM (145-155 bpm) | 5' Z2 retour au calme
Bloc Z3 dans le dernier tiers, jambes fatiguées : c'est la fatigue qui fait le travail, pas la vitesse
Nutrition : gel à 45', 90' et 135'</t>
  </si>
  <si>
    <t xml:space="preserve">  S32 — 05/04/2027 → 11/04/2027   |     Phase 4 — Spécifique IM (Grand Brick)</t>
  </si>
  <si>
    <t xml:space="preserve">98' EF Z2 (127-140 bpm) | 2x25' @ 84% FTP — r=5'
Objectif : travailler juste sous le seuil lactique (sweet spot)
FC bloc cible : ~163 bpm (84% FC max = ton seuil lactique) | Cadence : 87-93 rpm | RPE 6-7/10
NUTRITION : 90g glucides/h si &gt;90'
10' RC (127-140 bpm)</t>
  </si>
  <si>
    <t xml:space="preserve">Échauffement : 200 m souple (110-126 bpm)
Série : 25 x 100 m technique, nage relâchée (110-120 bpm) — repos 30 s + 50 m souple
Retour au calme : 50 m souple
Consigne : séance de récupération : relâchement, amplitude, aucune recherche de vitesse
Total : 2800 m</t>
  </si>
  <si>
    <t xml:space="preserve">84' EF (127-140 bpm) | 5x5' basse cadence (55-62 rpm) @ Z2 — r=3'
Objectif : force musculaire spécifique, économie de pédalage
FC : 131-155 bpm | RPE 6-7/10
10' RC (127-140 bpm)</t>
  </si>
  <si>
    <t xml:space="preserve">GRAND BRICK — Nat (1/3)</t>
  </si>
  <si>
    <t xml:space="preserve">Échauffement : 300 m souple (110-126 bpm, 2:23/100 m)
Bloc continu : 2500 m à allure IM, sans arrêt, conditions course (135-148 bpm, 2:09/100 m) — sighting toutes les 6-8 cycles de bras
Retour au calme : 200 m souple (110-126 bpm)
Total : 3000 m</t>
  </si>
  <si>
    <t xml:space="preserve">GRAND BRICK — Vélo 5h (2/3)</t>
  </si>
  <si>
    <t xml:space="preserve">300' Z2 (127-140 bpm) dont 3x40' allure IM (136-146 bpm, 70-75% FC max)
Cadence 85-92 rpm
NUTRITION : 90g glucides/h — stratégie course complète</t>
  </si>
  <si>
    <t xml:space="preserve">GRAND BRICK — CAP (3/3) — 13 km</t>
  </si>
  <si>
    <t xml:space="preserve">Transition directe après vélo — 76' allure IM (145-155 bpm)
Gels comme en course</t>
  </si>
  <si>
    <t xml:space="preserve">  S33 — 12/04/2027 → 18/04/2027   |     Phase 4 — Spécifique IM (Lacanau J-8, course Z3, pas d'affûtage)</t>
  </si>
  <si>
    <t xml:space="preserve">Objectif : vélocité et économie de course (fractions courtes)
11' EF Z2 (127-140 bpm)
400m à 80% (155 bpm)
400m à 87% (169 bpm)
300m à 80% (155 bpm)
300m à 90% (175 bpm)
200m à 80% (155 bpm)
200m à 92% (178 bpm)
100m à 80% (155 bpm)
100m à 95% (184 bpm)
x5 avec 3' de repos entre séries
8' EF Z2 (127-140 bpm)</t>
  </si>
  <si>
    <t xml:space="preserve">70' EF Z2 (127-140 bpm) | 3x20' à 147-159 bpm (76-82% FC max) — r=5'
Objectif : endurance de tempo, pont vers l'allure IM
FC bloc cible : 147-159 bpm (76-82% FC max) | Cadence : 85-92 rpm | RPE 6-7/10
NUTRITION : 90g glucides/h si &gt;90'
10' RC (127-140 bpm)</t>
  </si>
  <si>
    <t xml:space="preserve">Échauffement : 200 m souple (110-126 bpm)
Série : 19 x 100 m technique, nage relâchée (110-120 bpm) — repos 30 s
Retour au calme : 50 m souple
Consigne : séance de récupération : relâchement, amplitude, aucune recherche de vitesse
Total : 2150 m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</si>
  <si>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6 x 100 m (135-148 bpm, 2:06/100 m) — repos 30 s + 50 m à la suite
Retour au calme : 200 m souple (110-126 bpm)
Total : 3450 m</t>
  </si>
  <si>
    <t xml:space="preserve">279' Z2 (127-140 bpm)
Cadence 85-92 rpm
NUTRITION : 90g glucides/h si &gt;60'</t>
  </si>
  <si>
    <t xml:space="preserve">CAP en Brick — 30'</t>
  </si>
  <si>
    <t xml:space="preserve">Transition directe après vélo — 30' @ Z2-Z3 (127-155 bpm)
Adaptation transition vélo→CAP</t>
  </si>
  <si>
    <t xml:space="preserve">Échauffement : 200 m souple (110-126 bpm, 2:23/100 m)
Série principale : 6 x 300 m à allure soutenue (135-148 bpm, 2:06/100 m) — repos 20 s + 200 m à la suite, même allure
Retour au calme : 200 m souple (110-126 bpm)
Consigne : allure constante sur chaque répétition ; sighting toutes les 6-8 cycles de bras
Total : 2400 m</t>
  </si>
  <si>
    <t xml:space="preserve">  S34 — 19/04/2027 → 25/04/2027   |     Phase 4 — Spécifique IM + COMPETITION Lacanau (25/04, course Z3, pas d'affûtage)</t>
  </si>
  <si>
    <t xml:space="preserve">Objectif : allure marathon spécifique Ironman, relances sans récupération
14' EF Z2 (127-140 bpm)
3 x [2 km à 85% FC max (165 bpm) + 1 km à 80% (155 bpm)]
enchaînés, sans récupération
10' EF Z2 (127-140 bpm)</t>
  </si>
  <si>
    <t xml:space="preserve">67' EF Z2 (127-140 bpm) | 2x25' @ 84% FTP — r=5'
Objectif : rester juste sous le seuil lactique, séance complète — Lacanau est une course en Z3, pas d'affûtage
FC bloc cible : ~163 bpm (84% FC max = ton seuil lactique) | Cadence : 87-93 rpm | RPE 6-7/10
NUTRITION : 90g glucides/h si &gt;90'
10' RC (127-140 bpm)</t>
  </si>
  <si>
    <t xml:space="preserve">61' EF Z2 (127-140 bpm) | 4x20'' strides
Jamais &gt; Z2</t>
  </si>
  <si>
    <t xml:space="preserve">26' EF (127-140 bpm) | 3x3' basse cadence (55-62 rpm) @ Z2 — r=3'
Objectif : force musculaire spécifique, économie de pédalage
FC : 131-155 bpm | RPE 6-7/10
10' RC (127-140 bpm)</t>
  </si>
  <si>
    <t xml:space="preserve">Natation technique légère — shakeout</t>
  </si>
  <si>
    <t xml:space="preserve">Échauffement : 300 m souple (110-126 bpm, 2:23/100 m)
Série : 8 x 100 m progressif (du souple à l'allure course) — repos 20 s
Activation : 4 x 50 m à allure course (135-148 bpm, 2:09/100 m) — repos 20 s
Retour au calme : 200 m souple
Total : 1500 m</t>
  </si>
  <si>
    <t xml:space="preserve">EF très léger — veille course</t>
  </si>
  <si>
    <t xml:space="preserve">15' EF très facile (127-140 bpm) — jambes fraîches</t>
  </si>
  <si>
    <t xml:space="preserve">Vérification matériel — dépôt parc à vélo</t>
  </si>
  <si>
    <t xml:space="preserve">15' Z2 très facile — vérification matériel / dépôt sac T1-T2</t>
  </si>
  <si>
    <t xml:space="preserve">COMPETITION — Triathlon L La Canau</t>
  </si>
  <si>
    <t xml:space="preserve">Jour J — Triathlon de Lacanau, format L (ce n'est pas l'objectif principal — course de préparation)
Natation 1,9 km + Vélo 85 km + Course 21 km</t>
  </si>
  <si>
    <t xml:space="preserve">  S35 — 26/04/2027 → 02/05/2027   |     Reprise post-Lacanau (allégée)</t>
  </si>
  <si>
    <t xml:space="preserve">Repos complet — récupération post-course</t>
  </si>
  <si>
    <t xml:space="preserve">EF Z2 léger</t>
  </si>
  <si>
    <t xml:space="preserve">46' EF léger (127-140 bpm) — aucune intensité</t>
  </si>
  <si>
    <t xml:space="preserve">59' Z2 très facile (127-140 bpm) — récupération active
Cadence souple 85-90 rpm</t>
  </si>
  <si>
    <t xml:space="preserve">Échauffement : 200 m souple (110-126 bpm)
Série : 12 x 100 m technique, nage relâchée (110-120 bpm) — repos 30 s + 50 m souple
Retour au calme : 50 m souple
Consigne : séance de récupération : relâchement, amplitude, aucune recherche de vitesse
Total : 1500 m</t>
  </si>
  <si>
    <t xml:space="preserve">40' EF Z2 (127-140 bpm) | 4x20'' strides
Jamais &gt; Z2</t>
  </si>
  <si>
    <t xml:space="preserve">Vélo Z2 léger</t>
  </si>
  <si>
    <t xml:space="preserve">59' Z2 facile (127-140 bpm)
Cadence souple 85-90 rpm</t>
  </si>
  <si>
    <t xml:space="preserve">Échauffement : 4 x 50 m facile (108-117 bpm) — repos 30 s
Éducatifs : 8 x 50 m (catch-up, finger drag, sighting) — repos 30 s
Pull buoy : 10 x 100 m (135-148 bpm, 2:06/100 m) — repos 30 s
Retour au calme : 200 m souple (110-126 bpm)
Total : 1800 m</t>
  </si>
  <si>
    <t xml:space="preserve">Vélo léger — 2h</t>
  </si>
  <si>
    <t xml:space="preserve">118' Z2 (127-140 bpm) — récupération active</t>
  </si>
  <si>
    <t xml:space="preserve">Échauffement : 200 m souple (110-126 bpm, 2:23/100 m)
Série principale : 2 x 300 m à allure soutenue (135-148 bpm, 2:06/100 m) — repos 20 s + 200 m à la suite, même allure
Retour au calme : 200 m souple (110-126 bpm)
Consigne : allure constante sur chaque répétition ; sighting toutes les 6-8 cycles de bras
Total : 1200 m</t>
  </si>
  <si>
    <t xml:space="preserve">  S36 — 03/05/2027 → 09/05/2027   |     Phase 4 — Reprise progressive post-La Canau</t>
  </si>
  <si>
    <t xml:space="preserve">Tempo — Jog progressif 60'</t>
  </si>
  <si>
    <t xml:space="preserve">Objectif : endurance aérobie active, allure progressive (70 → 80% FC max)
20' à 70-72% FC max (136-140 bpm)
20' à 74-77% (144-149 bpm)
20' à 78-80% (151-155 bpm)
(un seul bloc continu, la progression se fait à la FC)</t>
  </si>
  <si>
    <t xml:space="preserve">59' EF Z2 (127-140 bpm) | 2x25' @ 84% FTP — r=5'
Objectif : reprendre le développement du seuil (FTP)
FC bloc cible : ~163 bpm (84% FC max) | Cadence : 87-93 rpm | RPE 7-8/10
NUTRITION : 90g glucides/h si &gt;90'
10' RC (127-140 bpm)</t>
  </si>
  <si>
    <t xml:space="preserve">Échauffement : 200 m souple (110-126 bpm)
Série : 18 x 100 m technique, nage relâchée (110-120 bpm) — repos 30 s
Retour au calme : 50 m souple
Consigne : séance de récupération : relâchement, amplitude, aucune recherche de vitesse
Total : 2050 m</t>
  </si>
  <si>
    <t xml:space="preserve">66'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</si>
  <si>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2000 m à allure IM, sans arrêt (135-148 bpm, 2:09/100 m) — sighting toutes les 6-8 cycles de bras
Pull buoy : 4 x 100 m (135-148 bpm, 2:06/100 m) — repos 30 s
Retour au calme : 200 m souple (110-126 bpm)
Total : 3200 m</t>
  </si>
  <si>
    <t xml:space="preserve">SORTIE LONGUE Z2 — 136' (22 km)</t>
  </si>
  <si>
    <t xml:space="preserve">136' Z2 (127-140 bpm) — allure conversationnelle
Cadence régulière
Gel à 45' et 90'</t>
  </si>
  <si>
    <t xml:space="preserve">257' Z2 (127-140 bpm)
Cadence 85-92 rpm
NUTRITION : 90g glucides/h si &gt;60'</t>
  </si>
  <si>
    <t xml:space="preserve">Échauffement : 200 m souple (110-126 bpm, 2:23/100 m)
Série principale : 6 x 300 m à allure soutenue (135-148 bpm, 2:06/100 m) — repos 20 s + 50 m à la suite, même allure
Retour au calme : 200 m souple (110-126 bpm)
Consigne : allure constante sur chaque répétition ; sighting toutes les 6-8 cycles de bras
Total : 2250 m</t>
  </si>
  <si>
    <t xml:space="preserve">  S37 — 10/05/2027 → 16/05/2027   |     Phase 4 — Spécifique IM (reprise 2)</t>
  </si>
  <si>
    <t xml:space="preserve">Qualité — 3x(9' + 5') @ 83/87%</t>
  </si>
  <si>
    <t xml:space="preserve">Objectif : seuil, allure marathon vers semi
17' EF Z2 (127-140 bpm)
3 x [9' à 83% FC max (161 bpm) — 1'30 de repos — 5' à 87% (169 bpm)]
3'30 de repos entre séries
11' EF Z2 (127-140 bpm)</t>
  </si>
  <si>
    <t xml:space="preserve">Vélo clé — Bloc allure IM 2x35' (136-146 bpm) — r=5'</t>
  </si>
  <si>
    <t xml:space="preserve">59' EF Z2 (127-140 bpm) | 2x35'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</si>
  <si>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77' EF Z2 (127-140 bpm)
Allure facile, cadence naturelle</t>
  </si>
  <si>
    <t xml:space="preserve">63'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</si>
  <si>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2500 m à allure IM, sans arrêt (135-148 bpm, 2:09/100 m) — sighting toutes les 6-8 cycles de bras
Pull buoy : 4 x 100 m (135-148 bpm, 2:06/100 m) — repos 30 s
Retour au calme : 200 m souple (110-126 bpm)
Total : 3700 m</t>
  </si>
  <si>
    <t xml:space="preserve">124' Z2 (127-140 bpm) | 25' allure IM (145-155 bpm) | 5' Z2 retour au calme
Bloc Z3 dans le dernier tiers, jambes fatiguées : c'est la fatigue qui fait le travail, pas la vitesse
Gel à 45', 90' et 135'</t>
  </si>
  <si>
    <t xml:space="preserve">321' Z2 (127-140 bpm)
Cadence 85-92 rpm
NUTRITION : 90g glucides/h si &gt;60'</t>
  </si>
  <si>
    <t xml:space="preserve">Échauffement : 200 m souple (110-126 bpm, 2:23/100 m)
Série principale : 7 x 300 m à allure soutenue (135-148 bpm, 2:06/100 m) — repos 20 s + 100 m à la suite, même allure
Retour au calme : 200 m souple (110-126 bpm)
Consigne : allure constante sur chaque répétition ; sighting toutes les 6-8 cycles de bras
Total : 2600 m</t>
  </si>
  <si>
    <t xml:space="preserve">  S38 — 17/05/2027 → 23/05/2027   |     Phase 4 — Spécifique IM (Deload)</t>
  </si>
  <si>
    <t xml:space="preserve">Qualité — 2x(9' + 5') @ 83/87% — décharge</t>
  </si>
  <si>
    <t xml:space="preserve">Objectif : seuil, allure marathon vers semi
17' EF Z2 (127-140 bpm)
2 x [9' à 83% FC max (161 bpm) — 1'30 de repos — 5' à 87% (169 bpm)]
3'30 de repos entre séries
12' EF Z2 (127-140 bpm)
Décharge : même type de séance que le bloc précédent, volume de qualité réduit</t>
  </si>
  <si>
    <t xml:space="preserve">Vélo clé — 2x22' @ 82% FTP — r=5'</t>
  </si>
  <si>
    <t xml:space="preserve">44' EF Z2 (127-140 bpm) | 2x22' @ 82% FTP — r=5'
Objectif : développer la puissance au seuil (FTP)
FC bloc cible : ~159 bpm (82% FC max) | Cadence : 87-93 rpm | RPE 7-8/10
NUTRITION : 90g glucides/h si &gt;90'
10' RC (127-140 bpm)</t>
  </si>
  <si>
    <t xml:space="preserve">62' EF Z2 (127-140 bpm) | 4x20'' strides
Jamais &gt; Z2</t>
  </si>
  <si>
    <t xml:space="preserve">Échauffement : 200 m souple (110-126 bpm)
Série : 13 x 100 m technique, nage relâchée (110-120 bpm) — repos 30 s + 50 m souple
Retour au calme : 50 m souple
Consigne : séance de récupération : relâchement, amplitude, aucune recherche de vitesse
Total : 1600 m</t>
  </si>
  <si>
    <t xml:space="preserve">51' EF (127-140 bpm) | 4x4'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</si>
  <si>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1500 m à allure IM, sans arrêt (135-148 bpm, 2:09/100 m) — sighting toutes les 6-8 cycles de bras
Pull buoy : 3 x 100 m (135-148 bpm, 2:06/100 m) — repos 30 s
Retour au calme : 200 m souple (110-126 bpm)
Total : 2600 m</t>
  </si>
  <si>
    <t xml:space="preserve">Z2 111' — allure conversationnelle
FC : 127-140 bpm
Gel à 45' et 90'</t>
  </si>
  <si>
    <t xml:space="preserve">214' Z2 (127-140 bpm)
Cadence 85-92 rpm
Semaine deload — volume réduit
NUTRITION : 90g glucides/h si &gt;60'</t>
  </si>
  <si>
    <t xml:space="preserve">Échauffement : 200 m souple (110-126 bpm, 2:23/100 m)
Série principale : 4 x 300 m à allure soutenue (135-148 bpm, 2:06/100 m) — repos 20 s + 200 m à la suite, même allure
Retour au calme : 200 m souple (110-126 bpm)
Consigne : allure constante sur chaque répétition ; sighting toutes les 6-8 cycles de bras
Total : 1800 m</t>
  </si>
  <si>
    <t xml:space="preserve">  S39 — 24/05/2027 → 30/05/2027   |     Phase 4 — Bloc Final IM</t>
  </si>
  <si>
    <t xml:space="preserve">Échauffement : 200 m souple (110-126 bpm, 2:21/100 m)
Série principale : 7 x 300 m à allure soutenue (135-148 bpm, 2:04/100 m) — repos 20 s + 200 m à la suite, même allure
Retour au calme : 200 m souple (110-126 bpm)
Consigne : allure constante sur chaque répétition ; sighting toutes les 6-8 cycles de bras
Total : 2700 m</t>
  </si>
  <si>
    <t xml:space="preserve">64' Z2 très facile (127-140 bpm) — récupération active
Cadence souple 85-90 rpm</t>
  </si>
  <si>
    <t xml:space="preserve">Vélo clé — Bloc allure IM 3x30' (136-146 bpm) — r=5'</t>
  </si>
  <si>
    <t xml:space="preserve">44' EF Z2 (127-140 bpm) | 3x30'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</si>
  <si>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69'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</si>
  <si>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2800 m à allure IM, sans arrêt (135-148 bpm, 2:07/100 m) — sighting toutes les 6-8 cycles de bras
Pull buoy : 2 x 100 m (135-148 bpm, 2:04/100 m) — repos 30 s + 50 m à la suite
Retour au calme : 200 m souple (110-126 bpm)
Total : 3850 m</t>
  </si>
  <si>
    <t xml:space="preserve">SORTIE LONGUE Z2 + fin Z3 — 173' (28 km)</t>
  </si>
  <si>
    <t xml:space="preserve">165' Z2 (127-140 bpm) | 5' Z3 bas (141-150 bpm) | 3' RC
Nutrition : gel à 45', 90' et 135'</t>
  </si>
  <si>
    <t xml:space="preserve">Sortie longue — 343' (160.0 km)</t>
  </si>
  <si>
    <t xml:space="preserve">343' Z2 (127-140 bpm)
Cadence 85-92 rpm
NUTRITION : 90g glucides/h si &gt;60'</t>
  </si>
  <si>
    <t xml:space="preserve">CAP en Brick — 35'</t>
  </si>
  <si>
    <t xml:space="preserve">Transition directe après vélo — 35' @ Z2-Z3 (127-155 bpm)
Adaptation transition vélo→CAP</t>
  </si>
  <si>
    <t xml:space="preserve">  S40 — 31/05/2027 → 06/06/2027   |     Phase 4 — Bloc Final IM</t>
  </si>
  <si>
    <t xml:space="preserve">Échauffement : 200 m souple (110-126 bpm, 2:21/100 m)
Série principale : 8 x 300 m à allure soutenue (135-148 bpm, 2:04/100 m) — repos 20 s + 50 m à la suite, même allure
Retour au calme : 200 m souple (110-126 bpm)
Consigne : allure constante sur chaque répétition ; sighting toutes les 6-8 cycles de bras
Total : 2850 m</t>
  </si>
  <si>
    <t xml:space="preserve">Objectif : allure marathon spécifique Ironman, relances sans récupération
14' EF Z2 (127-140 bpm)
4 x [2 km à 85% FC max (165 bpm) + 1 km à 80% (155 bpm)]
enchaînés, sans récupération
10' EF Z2 (127-140 bpm)</t>
  </si>
  <si>
    <t xml:space="preserve">69' Z2 très facile (127-140 bpm) — récupération active
Cadence souple 85-90 rpm</t>
  </si>
  <si>
    <t xml:space="preserve">Vélo clé — Bloc allure IM 2x45' (136-146 bpm) — r=5'</t>
  </si>
  <si>
    <t xml:space="preserve">60' EF Z2 (127-140 bpm) | 2x45'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</si>
  <si>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Échauffement : 200 m souple (110-126 bpm)
Série : 23 x 100 m technique, nage relâchée (110-120 bpm) — repos 30 s
Retour au calme : 50 m souple
Consigne : séance de récupération : relâchement, amplitude, aucune recherche de vitesse
Total : 2550 m</t>
  </si>
  <si>
    <t xml:space="preserve">80'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</si>
  <si>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3000 m à allure IM, sans arrêt (135-148 bpm, 2:07/100 m) — sighting toutes les 6-8 cycles de bras
Pull buoy : 3 x 100 m (135-148 bpm, 2:04/100 m) — repos 30 s
Retour au calme : 200 m souple (110-126 bpm)
Total : 4100 m</t>
  </si>
  <si>
    <t xml:space="preserve">SORTIE LONGUE Z2 — 185' (30 km)</t>
  </si>
  <si>
    <t xml:space="preserve">Z2 stable (185') — bloc final IM (127-140 bpm)
Gel à 45', 90' et 135'
Allure conversationnelle</t>
  </si>
  <si>
    <t xml:space="preserve">Sortie longue — 364' (170.0 km)</t>
  </si>
  <si>
    <t xml:space="preserve">364' Z2 (127-140 bpm)
Cadence 85-92 rpm
NUTRITION : 90g glucides/h si &gt;60'</t>
  </si>
  <si>
    <t xml:space="preserve">CAP en Brick — 40'</t>
  </si>
  <si>
    <t xml:space="preserve">Transition directe après vélo — 40' @ Z2-Z3 (127-155 bpm)
Adaptation transition vélo→CAP</t>
  </si>
  <si>
    <t xml:space="preserve">  S41 — 07/06/2027 → 13/06/2027   |     Phase 4 — Bloc Final IM (Pic)</t>
  </si>
  <si>
    <t xml:space="preserve">Échauffement : 200 m souple (110-126 bpm, 2:21/100 m)
Série principale : 8 x 300 m à allure soutenue (135-148 bpm, 2:04/100 m) — repos 20 s + 200 m à la suite, même allure
Retour au calme : 200 m souple (110-126 bpm)
Consigne : allure constante sur chaque répétition ; sighting toutes les 6-8 cycles de bras
Total : 3000 m</t>
  </si>
  <si>
    <t xml:space="preserve">Objectif : allure marathon spécifique Ironman, relances sans récupération — répéter le ravitaillement de course (même produits et même rythme que le jour J)
18' EF Z2 (127-140 bpm)
4 x [2 km à 85% FC max (165 bpm) + 1 km à 80% (155 bpm)]
enchaînés, sans récupération
12' EF Z2 (127-140 bpm)</t>
  </si>
  <si>
    <t xml:space="preserve">Vélo clé — Bloc allure IM 2x50' (136-146 bpm) — r=5'</t>
  </si>
  <si>
    <t xml:space="preserve">59' EF Z2 (127-140 bpm) | 2x50'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</si>
  <si>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 xml:space="preserve">96' EF Z2 (127-140 bpm)
Allure facile, cadence naturelle</t>
  </si>
  <si>
    <t xml:space="preserve">Échauffement : 200 m souple (110-126 bpm)
Série : 24 x 100 m technique, nage relâchée (110-120 bpm) — repos 30 s + 50 m souple
Retour au calme : 50 m souple
Consigne : séance de récupération : relâchement, amplitude, aucune recherche de vitesse
Total : 2700 m</t>
  </si>
  <si>
    <t xml:space="preserve">89' EF (127-140 bpm) | 6x5'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</si>
  <si>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3200 m à allure IM, sans arrêt (135-148 bpm, 2:07/100 m) — sighting toutes les 6-8 cycles de bras
Pull buoy : 3 x 100 m (135-148 bpm, 2:04/100 m) — repos 30 s
Retour au calme : 200 m souple (110-126 bpm)
Total : 4300 m</t>
  </si>
  <si>
    <t xml:space="preserve">SORTIE LONGUE Z2 — 197' (32 km)</t>
  </si>
  <si>
    <t xml:space="preserve">Z2 stable (197') — bloc final IM, pic du plan (127-140 bpm)
Gel à 45', 90', 135' et 180'
Allure conversationnelle</t>
  </si>
  <si>
    <t xml:space="preserve">Sortie longue — 386' (180.0 km)</t>
  </si>
  <si>
    <t xml:space="preserve">386' Z2 (127-140 bpm)
Cadence 85-92 rpm
NUTRITION : 90g glucides/h si &gt;60'</t>
  </si>
  <si>
    <t xml:space="preserve">CAP en Brick — 45'</t>
  </si>
  <si>
    <t xml:space="preserve">Transition directe après vélo — 45' @ Z2-Z3 (127-155 bpm)
Adaptation transition vélo→CAP</t>
  </si>
  <si>
    <t xml:space="preserve">  S42 — 14/06/2027 → 20/06/2027   |     Affûtage Ironman (Taper)</t>
  </si>
  <si>
    <t xml:space="preserve">Tempo — Jog progressif 48' — affûtage</t>
  </si>
  <si>
    <t xml:space="preserve">Objectif : endurance aérobie active, allure progressive (70 → 80% FC max)
16' à 70-72% FC max (136-140 bpm)
16' à 74-77% (144-149 bpm)
16' à 78-80% (151-155 bpm)
(un seul bloc continu, la progression se fait à la FC)
Affûtage : finir par 4 lignes droites de 20'' (récup complète), rester frais pour la course</t>
  </si>
  <si>
    <t xml:space="preserve">Vélo clé — 2x25' @ 83% FTP — r=5'</t>
  </si>
  <si>
    <t xml:space="preserve">25' EF Z2 (127-140 bpm) | 2x25' @ 83% FTP — r=5'
Objectif : développer la puissance au seuil (FTP)
FC bloc cible : ~161 bpm (83% FC max) | Cadence : 87-93 rpm | RPE 7-8/10
NUTRITION : 90g glucides/h si &gt;90'
10' RC (127-140 bpm)</t>
  </si>
  <si>
    <t xml:space="preserve">46' EF Z2 (127-140 bpm)
Allure facile, cadence naturelle</t>
  </si>
  <si>
    <t xml:space="preserve">Échauffement : 200 m souple (110-126 bpm)
Série : 17 x 100 m technique, nage relâchée (110-120 bpm) — repos 30 s + 50 m souple
Retour au calme : 50 m souple
Consigne : séance de récupération : relâchement, amplitude, aucune recherche de vitesse
Total : 2000 m</t>
  </si>
  <si>
    <t xml:space="preserve">48' EF (127-140 bpm) | 3x3' basse cadence (55-62 rpm) @ Z2 — r=3'
Objectif : force musculaire spécifique, économie de pédalage
FC : 131-155 bpm | RPE 6-7/10
10' RC (127-140 bpm)</t>
  </si>
  <si>
    <t xml:space="preserve">Échauffement : 4 x 50 m facile (108-117 bpm) — repos 30 s
Éducatifs : 8 x 50 m (catch-up, finger drag, sighting) — repos 30 s
Bloc continu : 1500 m à allure IM, sans arrêt (135-148 bpm, 2:07/100 m) — sighting toutes les 6-8 cycles de bras
Pull buoy : 7 x 100 m (135-148 bpm, 2:04/100 m) — repos 30 s
Retour au calme : 200 m souple (110-126 bpm)
Total : 3000 m</t>
  </si>
  <si>
    <t xml:space="preserve">Sortie longue — 107' (50.0 km)</t>
  </si>
  <si>
    <t xml:space="preserve">107' Z2 (127-140 bpm)
Cadence 85-92 rpm
NUTRITION : 90g glucides/h si &gt;60'</t>
  </si>
  <si>
    <t xml:space="preserve">  S43 — 21/06/2027 → 27/06/2027   |     COMPETITION — IRONMAN LES SABLES D'OLONNE 27/06</t>
  </si>
  <si>
    <t xml:space="preserve">OFF — arrivée Sables d'Olonne</t>
  </si>
  <si>
    <t xml:space="preserve">Activation + vérif vélo</t>
  </si>
  <si>
    <t xml:space="preserve">43' Z2 très facile (127-140 bpm) — activation/vérification matériel</t>
  </si>
  <si>
    <t xml:space="preserve">EF + strides (127-140 bpm)</t>
  </si>
  <si>
    <t xml:space="preserve">Check matériel + activation</t>
  </si>
  <si>
    <t xml:space="preserve">37' Z2 très facile (127-140 bpm) — activation/vérification matériel</t>
  </si>
  <si>
    <t xml:space="preserve">Activation natation — 1 session</t>
  </si>
  <si>
    <t xml:space="preserve">Échauffement : 300 m souple (110-126 bpm, 2:21/100 m)
Série : 8 x 100 m progressif (du souple à l'allure course) — repos 20 s
Activation : 4 x 50 m à allure course (135-148 bpm, 2:07/100 m) — repos 20 s
Retour au calme : 200 m souple — en mer si possible
Total : 1500 m</t>
  </si>
  <si>
    <t xml:space="preserve">Activation très légère</t>
  </si>
  <si>
    <t xml:space="preserve">27' Z2 très facile (127-140 bpm) — activation/vérification matériel</t>
  </si>
  <si>
    <t xml:space="preserve">EF + visualisation</t>
  </si>
  <si>
    <t xml:space="preserve">EF + visualisation (127-140 bpm)</t>
  </si>
  <si>
    <t xml:space="preserve">Activation natation — courte</t>
  </si>
  <si>
    <t xml:space="preserve">Échauffement : 200 m souple (110-126 bpm, 2:21/100 m)
Série : 4 x 100 m à allure course (135-148 bpm, 2:07/100 m) — repos 20 s
Détente : 4 x 50 m souple
Retour au calme : 200 m souple — repérage du parcours
Total : 1000 m</t>
  </si>
  <si>
    <t xml:space="preserve">EF très facile</t>
  </si>
  <si>
    <t xml:space="preserve">EF très facile (127-140 bpm)</t>
  </si>
  <si>
    <t xml:space="preserve">Activation finale — dépôt T1</t>
  </si>
  <si>
    <t xml:space="preserve">17' Z2 très facile (127-140 bpm) — activation/vérification matériel</t>
  </si>
  <si>
    <t xml:space="preserve">COMPETITION — IRONMAN LES SABLES D'OLONNE</t>
  </si>
  <si>
    <t xml:space="preserve">Jour J — Ironman Les Sables d'Olonne
Natation 3.8 km + Vélo 180 km + Marathon 42.2 km</t>
  </si>
  <si>
    <t xml:space="preserve">Repères natation — zones, allures et abréviations</t>
  </si>
  <si>
    <t xml:space="preserve">Zones de fréquence cardiaque (FC max 194)</t>
  </si>
  <si>
    <t xml:space="preserve">Zone</t>
  </si>
  <si>
    <t xml:space="preserve">bpm</t>
  </si>
  <si>
    <t xml:space="preserve">Usage</t>
  </si>
  <si>
    <t xml:space="preserve">Technique / éducatifs</t>
  </si>
  <si>
    <t xml:space="preserve">108-117</t>
  </si>
  <si>
    <t xml:space="preserve">échauffement facile, éducatifs</t>
  </si>
  <si>
    <t xml:space="preserve">Souple / EF</t>
  </si>
  <si>
    <t xml:space="preserve">110-126</t>
  </si>
  <si>
    <t xml:space="preserve">échauffement, retour au calme</t>
  </si>
  <si>
    <t xml:space="preserve">Récupération / activation</t>
  </si>
  <si>
    <t xml:space="preserve">110-120</t>
  </si>
  <si>
    <t xml:space="preserve">séances de récup, veille de course</t>
  </si>
  <si>
    <t xml:space="preserve">Allure IM et soutenu</t>
  </si>
  <si>
    <t xml:space="preserve">135-148</t>
  </si>
  <si>
    <t xml:space="preserve">bloc continu, séries de 200-300 m, pull buoy</t>
  </si>
  <si>
    <t xml:space="preserve">Seuil (CSS)</t>
  </si>
  <si>
    <t xml:space="preserve">150-160</t>
  </si>
  <si>
    <t xml:space="preserve">séries de 100 m, 1 dimanche sur 3 environ</t>
  </si>
  <si>
    <t xml:space="preserve">Progression de l'allure (min/100 m) — CSS prévue puis allures dérivées</t>
  </si>
  <si>
    <t xml:space="preserve">Phase</t>
  </si>
  <si>
    <t xml:space="preserve">Semaines</t>
  </si>
  <si>
    <t xml:space="preserve">CSS</t>
  </si>
  <si>
    <t xml:space="preserve">Allure IM (CSS+6 s)</t>
  </si>
  <si>
    <t xml:space="preserve">Soutenu (CSS+3 s)</t>
  </si>
  <si>
    <t xml:space="preserve">Seuil (= CSS)</t>
  </si>
  <si>
    <t xml:space="preserve">Souple (CSS+20 s)</t>
  </si>
  <si>
    <t xml:space="preserve">1 — Base</t>
  </si>
  <si>
    <t xml:space="preserve">S05-S10</t>
  </si>
  <si>
    <t xml:space="preserve">2:09</t>
  </si>
  <si>
    <t xml:space="preserve">2:15</t>
  </si>
  <si>
    <t xml:space="preserve">2:12</t>
  </si>
  <si>
    <t xml:space="preserve">2:29</t>
  </si>
  <si>
    <t xml:space="preserve">2 — Build</t>
  </si>
  <si>
    <t xml:space="preserve">S11-S18</t>
  </si>
  <si>
    <t xml:space="preserve">2:07</t>
  </si>
  <si>
    <t xml:space="preserve">2:13</t>
  </si>
  <si>
    <t xml:space="preserve">2:10</t>
  </si>
  <si>
    <t xml:space="preserve">2:27</t>
  </si>
  <si>
    <t xml:space="preserve">3 — Pré-IM</t>
  </si>
  <si>
    <t xml:space="preserve">S19-S24</t>
  </si>
  <si>
    <t xml:space="preserve">2:05</t>
  </si>
  <si>
    <t xml:space="preserve">2:11</t>
  </si>
  <si>
    <t xml:space="preserve">2:08</t>
  </si>
  <si>
    <t xml:space="preserve">2:25</t>
  </si>
  <si>
    <t xml:space="preserve">4 — Spécifique IM</t>
  </si>
  <si>
    <t xml:space="preserve">S25-S38</t>
  </si>
  <si>
    <t xml:space="preserve">2:03</t>
  </si>
  <si>
    <t xml:space="preserve">2:06</t>
  </si>
  <si>
    <t xml:space="preserve">2:23</t>
  </si>
  <si>
    <t xml:space="preserve">5 — Bloc final / affûtage</t>
  </si>
  <si>
    <t xml:space="preserve">S39-S43</t>
  </si>
  <si>
    <t xml:space="preserve">2:01</t>
  </si>
  <si>
    <t xml:space="preserve">2:04</t>
  </si>
  <si>
    <t xml:space="preserve">2:21</t>
  </si>
  <si>
    <t xml:space="preserve">Tests CSS</t>
  </si>
  <si>
    <t xml:space="preserve">Test 400 m + 200 m à fond en S06, S19 et S29 (dimanche).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</si>
  <si>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 xml:space="preserve">Abréviations et consignes</t>
  </si>
  <si>
    <t xml:space="preserve">repos 20 s</t>
  </si>
  <si>
    <t xml:space="preserve">20 secondes de repos au mur entre deux répétitions</t>
  </si>
  <si>
    <t xml:space="preserve">à la suite</t>
  </si>
  <si>
    <t xml:space="preserve">mètres enchaînés sans repos, à la même allure que la série</t>
  </si>
  <si>
    <t xml:space="preserve">sighting</t>
  </si>
  <si>
    <t xml:space="preserve">lever la tête pour repérer la bouée ou le mur, toutes les 6-8 cycles de bras</t>
  </si>
  <si>
    <t xml:space="preserve">éducatifs</t>
  </si>
  <si>
    <t xml:space="preserve">exercices techniques : catch-up, finger drag, sighting</t>
  </si>
  <si>
    <t xml:space="preserve">pull buoy</t>
  </si>
  <si>
    <t xml:space="preserve">nage avec un pull-buoy entre les jambes</t>
  </si>
  <si>
    <t xml:space="preserve">bloc continu</t>
  </si>
  <si>
    <t xml:space="preserve">distance nagée sans arrêt à l'allure indiquée</t>
  </si>
  <si>
    <t xml:space="preserve">Durée de la séance</t>
  </si>
  <si>
    <t xml:space="preserve">durée réelle estimée : temps de nage + repos + changements de matériel</t>
  </si>
  <si>
    <t xml:space="preserve">Repères vélo — zones en bpm autour du seuil lactique (163 bpm, FC max 194)</t>
  </si>
  <si>
    <t xml:space="preserve">% FC max</t>
  </si>
  <si>
    <t xml:space="preserve">Allure IM</t>
  </si>
  <si>
    <t xml:space="preserve">136-146</t>
  </si>
  <si>
    <t xml:space="preserve">70-75%</t>
  </si>
  <si>
    <t xml:space="preserve">blocs spécifiques Ironman, sorties longues</t>
  </si>
  <si>
    <t xml:space="preserve">Tempo</t>
  </si>
  <si>
    <t xml:space="preserve">147-159</t>
  </si>
  <si>
    <t xml:space="preserve">76-82%</t>
  </si>
  <si>
    <t xml:space="preserve">blocs tempo (S16, S33), pont vers l'allure IM</t>
  </si>
  <si>
    <t xml:space="preserve">Sweet spot</t>
  </si>
  <si>
    <t xml:space="preserve">159-163</t>
  </si>
  <si>
    <t xml:space="preserve">82-84%</t>
  </si>
  <si>
    <t xml:space="preserve">blocs juste sous le seuil lactique (2 x 25 à 33 min)</t>
  </si>
  <si>
    <t xml:space="preserve">Seuil</t>
  </si>
  <si>
    <t xml:space="preserve">165-170</t>
  </si>
  <si>
    <t xml:space="preserve">85-88%</t>
  </si>
  <si>
    <t xml:space="preserve">blocs courts au-dessus du seuil lactique (S11, S23)</t>
  </si>
  <si>
    <t xml:space="preserve">Over-unders</t>
  </si>
  <si>
    <t xml:space="preserve">155 / 171</t>
  </si>
  <si>
    <t xml:space="preserve">80% / 88%</t>
  </si>
  <si>
    <t xml:space="preserve">alternance 3 min sous le seuil / 1 min au-dessus</t>
  </si>
  <si>
    <t xml:space="preserve">VO2</t>
  </si>
  <si>
    <t xml:space="preserve">184-194</t>
  </si>
  <si>
    <t xml:space="preserve">95-100%</t>
  </si>
  <si>
    <t xml:space="preserve">intervalles courts de 3 à 4 min</t>
  </si>
  <si>
    <t xml:space="preserve">Le seuil lactique de 163 bpm vient de ta montre (estimation à ± 5 bpm). Si un test ou une séance la corrige, décale les zones sweet spot, seuil et over-unders du même écart.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</si>
</sst>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b val="true"/>
      <sz val="9"/>
      <color rgb="FF000000"/>
      <name val="Arial"/>
      <family val="2"/>
      <charset val="1"/>
    </font>
    <font>
      <b val="true"/>
      <sz val="11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  <fill>
      <patternFill patternType="solid">
        <fgColor rgb="FFDDEBF7"/>
        <bgColor rgb="FFE8EA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E8EAF6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1"/>
  <sheetViews>
    <sheetView showFormulas="false" showGridLines="true" showRowColHeaders="true" showZeros="true" rightToLeft="false" tabSelected="true" showOutlineSymbols="true" defaultGridColor="true" view="normal" topLeftCell="F47" colorId="64" zoomScale="70" zoomScaleNormal="70" zoomScalePageLayoutView="100" workbookViewId="0">
      <selection pane="topLeft" activeCell="I57" activeCellId="0" sqref="I57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1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74"/>
    <col collapsed="false" customWidth="true" hidden="false" outlineLevel="0" max="9" min="9" style="1" width="17"/>
    <col collapsed="false" customWidth="true" hidden="false" outlineLevel="0" max="11" min="11" style="1" width="18"/>
    <col collapsed="false" customWidth="true" hidden="false" outlineLevel="0" max="12" min="12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4" hidden="false" customHeight="true" outlineLevel="0" collapsed="false">
      <c r="A2" s="3" t="n">
        <v>46265</v>
      </c>
      <c r="B2" s="4" t="s">
        <v>1</v>
      </c>
      <c r="C2" s="5" t="s">
        <v>2</v>
      </c>
      <c r="D2" s="6" t="s">
        <v>3</v>
      </c>
      <c r="E2" s="4" t="s">
        <v>4</v>
      </c>
      <c r="F2" s="6" t="s">
        <v>4</v>
      </c>
      <c r="G2" s="4" t="n">
        <v>1</v>
      </c>
      <c r="H2" s="7" t="s">
        <v>5</v>
      </c>
      <c r="I2" s="4"/>
      <c r="J2" s="4"/>
      <c r="K2" s="4"/>
      <c r="L2" s="4"/>
    </row>
    <row r="3" customFormat="false" ht="36" hidden="false" customHeight="true" outlineLevel="0" collapsed="false">
      <c r="A3" s="3" t="n">
        <v>46266</v>
      </c>
      <c r="B3" s="4" t="s">
        <v>6</v>
      </c>
      <c r="C3" s="8" t="s">
        <v>7</v>
      </c>
      <c r="D3" s="6" t="s">
        <v>8</v>
      </c>
      <c r="E3" s="4" t="n">
        <v>23</v>
      </c>
      <c r="F3" s="6" t="s">
        <v>9</v>
      </c>
      <c r="G3" s="4" t="n">
        <v>2</v>
      </c>
      <c r="H3" s="7" t="s">
        <v>10</v>
      </c>
      <c r="I3" s="4" t="n">
        <v>4</v>
      </c>
      <c r="J3" s="4"/>
      <c r="K3" s="4"/>
      <c r="L3" s="4" t="n">
        <v>34</v>
      </c>
    </row>
    <row r="4" customFormat="false" ht="24" hidden="false" customHeight="true" outlineLevel="0" collapsed="false">
      <c r="A4" s="3" t="n">
        <v>46266</v>
      </c>
      <c r="B4" s="4" t="s">
        <v>6</v>
      </c>
      <c r="C4" s="9" t="s">
        <v>11</v>
      </c>
      <c r="D4" s="6" t="s">
        <v>12</v>
      </c>
      <c r="E4" s="4" t="n">
        <v>53</v>
      </c>
      <c r="F4" s="6" t="s">
        <v>9</v>
      </c>
      <c r="G4" s="4" t="n">
        <v>2</v>
      </c>
      <c r="H4" s="7" t="s">
        <v>13</v>
      </c>
      <c r="I4" s="4"/>
      <c r="J4" s="4" t="n">
        <v>24.5</v>
      </c>
      <c r="K4" s="4"/>
      <c r="L4" s="4" t="n">
        <v>65</v>
      </c>
    </row>
    <row r="5" customFormat="false" ht="36" hidden="false" customHeight="true" outlineLevel="0" collapsed="false">
      <c r="A5" s="3" t="n">
        <v>46267</v>
      </c>
      <c r="B5" s="4" t="s">
        <v>14</v>
      </c>
      <c r="C5" s="9" t="s">
        <v>11</v>
      </c>
      <c r="D5" s="6" t="s">
        <v>15</v>
      </c>
      <c r="E5" s="4" t="n">
        <v>107</v>
      </c>
      <c r="F5" s="6" t="s">
        <v>9</v>
      </c>
      <c r="G5" s="4" t="n">
        <v>3</v>
      </c>
      <c r="H5" s="7" t="s">
        <v>16</v>
      </c>
      <c r="I5" s="4"/>
      <c r="J5" s="4" t="n">
        <v>48.9</v>
      </c>
      <c r="K5" s="4"/>
      <c r="L5" s="4" t="n">
        <v>138</v>
      </c>
    </row>
    <row r="6" customFormat="false" ht="24" hidden="false" customHeight="true" outlineLevel="0" collapsed="false">
      <c r="A6" s="3" t="n">
        <v>46268</v>
      </c>
      <c r="B6" s="4" t="s">
        <v>17</v>
      </c>
      <c r="C6" s="8" t="s">
        <v>7</v>
      </c>
      <c r="D6" s="6" t="s">
        <v>18</v>
      </c>
      <c r="E6" s="4" t="n">
        <v>21</v>
      </c>
      <c r="F6" s="6" t="s">
        <v>19</v>
      </c>
      <c r="G6" s="4" t="n">
        <v>2</v>
      </c>
      <c r="H6" s="7" t="s">
        <v>20</v>
      </c>
      <c r="I6" s="4" t="n">
        <v>3.5</v>
      </c>
      <c r="J6" s="4"/>
      <c r="K6" s="4"/>
      <c r="L6" s="4" t="n">
        <v>23</v>
      </c>
    </row>
    <row r="7" customFormat="false" ht="15" hidden="false" customHeight="true" outlineLevel="0" collapsed="false">
      <c r="A7" s="3" t="n">
        <v>46269</v>
      </c>
      <c r="B7" s="4" t="s">
        <v>21</v>
      </c>
      <c r="C7" s="8" t="s">
        <v>7</v>
      </c>
      <c r="D7" s="6" t="s">
        <v>22</v>
      </c>
      <c r="E7" s="4" t="n">
        <v>36</v>
      </c>
      <c r="F7" s="6" t="s">
        <v>9</v>
      </c>
      <c r="G7" s="4" t="n">
        <v>2</v>
      </c>
      <c r="H7" s="7" t="s">
        <v>23</v>
      </c>
      <c r="I7" s="4" t="n">
        <v>6</v>
      </c>
      <c r="J7" s="4"/>
      <c r="K7" s="4"/>
      <c r="L7" s="4" t="n">
        <v>22</v>
      </c>
    </row>
    <row r="8" customFormat="false" ht="24" hidden="false" customHeight="true" outlineLevel="0" collapsed="false">
      <c r="A8" s="3" t="n">
        <v>46269</v>
      </c>
      <c r="B8" s="4" t="s">
        <v>21</v>
      </c>
      <c r="C8" s="9" t="s">
        <v>11</v>
      </c>
      <c r="D8" s="6" t="s">
        <v>24</v>
      </c>
      <c r="E8" s="4" t="n">
        <v>57</v>
      </c>
      <c r="F8" s="6" t="s">
        <v>9</v>
      </c>
      <c r="G8" s="4" t="n">
        <v>2</v>
      </c>
      <c r="H8" s="7" t="s">
        <v>25</v>
      </c>
      <c r="I8" s="4"/>
      <c r="J8" s="4" t="n">
        <v>41.6</v>
      </c>
      <c r="K8" s="4"/>
      <c r="L8" s="4" t="n">
        <v>72</v>
      </c>
    </row>
    <row r="9" customFormat="false" ht="36" hidden="false" customHeight="true" outlineLevel="0" collapsed="false">
      <c r="A9" s="3" t="n">
        <v>46270</v>
      </c>
      <c r="B9" s="4" t="s">
        <v>26</v>
      </c>
      <c r="C9" s="10" t="s">
        <v>27</v>
      </c>
      <c r="D9" s="6" t="s">
        <v>28</v>
      </c>
      <c r="E9" s="4" t="n">
        <v>67</v>
      </c>
      <c r="F9" s="6" t="s">
        <v>4</v>
      </c>
      <c r="G9" s="4" t="n">
        <v>3</v>
      </c>
      <c r="H9" s="7" t="s">
        <v>29</v>
      </c>
      <c r="I9" s="4"/>
      <c r="J9" s="4"/>
      <c r="K9" s="4" t="n">
        <v>2450</v>
      </c>
      <c r="L9" s="4"/>
    </row>
    <row r="10" customFormat="false" ht="24" hidden="false" customHeight="true" outlineLevel="0" collapsed="false">
      <c r="A10" s="3" t="n">
        <v>46270</v>
      </c>
      <c r="B10" s="4" t="s">
        <v>26</v>
      </c>
      <c r="C10" s="8" t="s">
        <v>7</v>
      </c>
      <c r="D10" s="6" t="s">
        <v>30</v>
      </c>
      <c r="E10" s="4" t="n">
        <v>20</v>
      </c>
      <c r="F10" s="6" t="s">
        <v>9</v>
      </c>
      <c r="G10" s="4" t="n">
        <v>4</v>
      </c>
      <c r="H10" s="7" t="s">
        <v>31</v>
      </c>
      <c r="I10" s="4" t="n">
        <v>3</v>
      </c>
      <c r="J10" s="4" t="n">
        <v>65</v>
      </c>
      <c r="K10" s="4"/>
      <c r="L10" s="4" t="n">
        <v>55</v>
      </c>
      <c r="N10" s="4"/>
    </row>
    <row r="11" customFormat="false" ht="36" hidden="false" customHeight="true" outlineLevel="0" collapsed="false">
      <c r="A11" s="3" t="n">
        <v>46271</v>
      </c>
      <c r="B11" s="4" t="s">
        <v>32</v>
      </c>
      <c r="C11" s="10" t="s">
        <v>27</v>
      </c>
      <c r="D11" s="6" t="s">
        <v>33</v>
      </c>
      <c r="E11" s="4" t="n">
        <v>40</v>
      </c>
      <c r="F11" s="6" t="s">
        <v>4</v>
      </c>
      <c r="G11" s="4" t="n">
        <v>3</v>
      </c>
      <c r="H11" s="7" t="s">
        <v>34</v>
      </c>
      <c r="I11" s="4"/>
      <c r="J11" s="4"/>
      <c r="K11" s="4" t="n">
        <v>2350</v>
      </c>
      <c r="L11" s="4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2" t="s">
        <v>35</v>
      </c>
      <c r="I12" s="11" t="n">
        <f aca="false">SUM(I2:I11)</f>
        <v>16.5</v>
      </c>
      <c r="J12" s="11" t="n">
        <f aca="false">SUM(J2:J11)</f>
        <v>180</v>
      </c>
      <c r="K12" s="11" t="n">
        <f aca="false">SUM(K2:K11)</f>
        <v>4800</v>
      </c>
      <c r="L12" s="11"/>
    </row>
    <row r="13" customFormat="false" ht="15" hidden="false" customHeight="true" outlineLevel="0" collapsed="false">
      <c r="A13" s="13" t="s">
        <v>36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customFormat="false" ht="24" hidden="false" customHeight="true" outlineLevel="0" collapsed="false">
      <c r="A14" s="3" t="n">
        <v>46272</v>
      </c>
      <c r="B14" s="4" t="s">
        <v>1</v>
      </c>
      <c r="C14" s="5" t="s">
        <v>2</v>
      </c>
      <c r="D14" s="6" t="s">
        <v>3</v>
      </c>
      <c r="E14" s="4" t="s">
        <v>4</v>
      </c>
      <c r="F14" s="6" t="s">
        <v>4</v>
      </c>
      <c r="G14" s="4" t="n">
        <v>1</v>
      </c>
      <c r="H14" s="7" t="s">
        <v>37</v>
      </c>
      <c r="I14" s="4"/>
      <c r="J14" s="4"/>
      <c r="K14" s="4"/>
      <c r="L14" s="4"/>
    </row>
    <row r="15" customFormat="false" ht="84" hidden="false" customHeight="true" outlineLevel="0" collapsed="false">
      <c r="A15" s="3" t="n">
        <v>46273</v>
      </c>
      <c r="B15" s="4" t="s">
        <v>6</v>
      </c>
      <c r="C15" s="8" t="s">
        <v>7</v>
      </c>
      <c r="D15" s="6" t="s">
        <v>38</v>
      </c>
      <c r="E15" s="4" t="n">
        <v>43</v>
      </c>
      <c r="F15" s="6" t="s">
        <v>39</v>
      </c>
      <c r="G15" s="4" t="n">
        <v>6</v>
      </c>
      <c r="H15" s="7" t="s">
        <v>40</v>
      </c>
      <c r="I15" s="4" t="n">
        <v>7</v>
      </c>
      <c r="J15" s="4"/>
      <c r="K15" s="4"/>
      <c r="L15" s="4" t="n">
        <v>48</v>
      </c>
    </row>
    <row r="16" customFormat="false" ht="24" hidden="false" customHeight="true" outlineLevel="0" collapsed="false">
      <c r="A16" s="3" t="n">
        <v>46273</v>
      </c>
      <c r="B16" s="4" t="s">
        <v>6</v>
      </c>
      <c r="C16" s="9" t="s">
        <v>11</v>
      </c>
      <c r="D16" s="6" t="s">
        <v>12</v>
      </c>
      <c r="E16" s="4" t="n">
        <v>29</v>
      </c>
      <c r="F16" s="6" t="s">
        <v>9</v>
      </c>
      <c r="G16" s="4" t="n">
        <v>2</v>
      </c>
      <c r="H16" s="7" t="s">
        <v>41</v>
      </c>
      <c r="I16" s="4"/>
      <c r="J16" s="4" t="n">
        <v>13.5</v>
      </c>
      <c r="K16" s="4"/>
      <c r="L16" s="4" t="n">
        <v>75</v>
      </c>
    </row>
    <row r="17" customFormat="false" ht="36" hidden="false" customHeight="true" outlineLevel="0" collapsed="false">
      <c r="A17" s="3" t="n">
        <v>46274</v>
      </c>
      <c r="B17" s="4" t="s">
        <v>14</v>
      </c>
      <c r="C17" s="9" t="s">
        <v>11</v>
      </c>
      <c r="D17" s="6" t="s">
        <v>42</v>
      </c>
      <c r="E17" s="4" t="n">
        <v>59</v>
      </c>
      <c r="F17" s="6" t="s">
        <v>43</v>
      </c>
      <c r="G17" s="4" t="n">
        <v>5</v>
      </c>
      <c r="H17" s="7" t="s">
        <v>44</v>
      </c>
      <c r="I17" s="4"/>
      <c r="J17" s="4" t="n">
        <v>27</v>
      </c>
      <c r="K17" s="4"/>
      <c r="L17" s="4" t="n">
        <v>150</v>
      </c>
    </row>
    <row r="18" customFormat="false" ht="24" hidden="false" customHeight="true" outlineLevel="0" collapsed="false">
      <c r="A18" s="3" t="n">
        <v>46275</v>
      </c>
      <c r="B18" s="4" t="s">
        <v>17</v>
      </c>
      <c r="C18" s="8" t="s">
        <v>7</v>
      </c>
      <c r="D18" s="6" t="s">
        <v>18</v>
      </c>
      <c r="E18" s="4" t="n">
        <v>18</v>
      </c>
      <c r="F18" s="6" t="s">
        <v>19</v>
      </c>
      <c r="G18" s="4" t="n">
        <v>2</v>
      </c>
      <c r="H18" s="7" t="s">
        <v>45</v>
      </c>
      <c r="I18" s="4" t="n">
        <v>3</v>
      </c>
      <c r="J18" s="4"/>
      <c r="K18" s="4"/>
      <c r="L18" s="4" t="n">
        <v>26</v>
      </c>
    </row>
    <row r="19" customFormat="false" ht="24" hidden="false" customHeight="true" outlineLevel="0" collapsed="false">
      <c r="A19" s="3" t="n">
        <v>46276</v>
      </c>
      <c r="B19" s="4" t="s">
        <v>21</v>
      </c>
      <c r="C19" s="9" t="s">
        <v>11</v>
      </c>
      <c r="D19" s="6" t="s">
        <v>46</v>
      </c>
      <c r="E19" s="4" t="n">
        <v>65</v>
      </c>
      <c r="F19" s="6" t="s">
        <v>47</v>
      </c>
      <c r="G19" s="4" t="n">
        <v>3</v>
      </c>
      <c r="H19" s="7" t="s">
        <v>48</v>
      </c>
      <c r="I19" s="4"/>
      <c r="J19" s="4" t="n">
        <v>23</v>
      </c>
      <c r="K19" s="4"/>
      <c r="L19" s="4" t="n">
        <v>80</v>
      </c>
    </row>
    <row r="20" customFormat="false" ht="36" hidden="false" customHeight="true" outlineLevel="0" collapsed="false">
      <c r="A20" s="3" t="n">
        <v>46277</v>
      </c>
      <c r="B20" s="4" t="s">
        <v>26</v>
      </c>
      <c r="C20" s="10" t="s">
        <v>27</v>
      </c>
      <c r="D20" s="6" t="s">
        <v>28</v>
      </c>
      <c r="E20" s="4" t="n">
        <v>68</v>
      </c>
      <c r="F20" s="6" t="s">
        <v>4</v>
      </c>
      <c r="G20" s="4" t="n">
        <v>3</v>
      </c>
      <c r="H20" s="7" t="s">
        <v>49</v>
      </c>
      <c r="I20" s="4"/>
      <c r="J20" s="4"/>
      <c r="K20" s="4" t="n">
        <v>2850</v>
      </c>
      <c r="L20" s="4"/>
    </row>
    <row r="21" customFormat="false" ht="24" hidden="false" customHeight="true" outlineLevel="0" collapsed="false">
      <c r="A21" s="3" t="n">
        <v>46277</v>
      </c>
      <c r="B21" s="4" t="s">
        <v>26</v>
      </c>
      <c r="C21" s="8" t="s">
        <v>7</v>
      </c>
      <c r="D21" s="6" t="s">
        <v>50</v>
      </c>
      <c r="E21" s="4" t="n">
        <v>45</v>
      </c>
      <c r="F21" s="6" t="s">
        <v>9</v>
      </c>
      <c r="G21" s="4" t="n">
        <v>4</v>
      </c>
      <c r="H21" s="7" t="s">
        <v>51</v>
      </c>
      <c r="I21" s="4" t="n">
        <v>8</v>
      </c>
      <c r="J21" s="4"/>
      <c r="K21" s="4"/>
      <c r="L21" s="4" t="n">
        <v>66</v>
      </c>
    </row>
    <row r="22" customFormat="false" ht="36" hidden="false" customHeight="true" outlineLevel="0" collapsed="false">
      <c r="A22" s="3" t="n">
        <v>46278</v>
      </c>
      <c r="B22" s="4" t="s">
        <v>32</v>
      </c>
      <c r="C22" s="9" t="s">
        <v>11</v>
      </c>
      <c r="D22" s="6" t="s">
        <v>52</v>
      </c>
      <c r="E22" s="4" t="n">
        <v>156</v>
      </c>
      <c r="F22" s="6" t="s">
        <v>9</v>
      </c>
      <c r="G22" s="4" t="n">
        <v>4</v>
      </c>
      <c r="H22" s="7" t="s">
        <v>53</v>
      </c>
      <c r="I22" s="4"/>
      <c r="J22" s="4" t="n">
        <v>71.5</v>
      </c>
      <c r="K22" s="4"/>
      <c r="L22" s="4" t="n">
        <v>247</v>
      </c>
    </row>
    <row r="23" customFormat="false" ht="36" hidden="false" customHeight="true" outlineLevel="0" collapsed="false">
      <c r="A23" s="3" t="n">
        <v>46278</v>
      </c>
      <c r="B23" s="4" t="s">
        <v>32</v>
      </c>
      <c r="C23" s="10" t="s">
        <v>27</v>
      </c>
      <c r="D23" s="6" t="s">
        <v>33</v>
      </c>
      <c r="E23" s="4" t="n">
        <v>40</v>
      </c>
      <c r="F23" s="6" t="s">
        <v>4</v>
      </c>
      <c r="G23" s="4" t="n">
        <v>3</v>
      </c>
      <c r="H23" s="7" t="s">
        <v>54</v>
      </c>
      <c r="I23" s="4"/>
      <c r="J23" s="4"/>
      <c r="K23" s="4" t="n">
        <v>2750</v>
      </c>
      <c r="L23" s="4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2" t="s">
        <v>35</v>
      </c>
      <c r="I24" s="11" t="n">
        <f aca="false">SUM(I14:I23)</f>
        <v>18</v>
      </c>
      <c r="J24" s="11" t="n">
        <f aca="false">SUM(J14:J23)</f>
        <v>135</v>
      </c>
      <c r="K24" s="11" t="n">
        <f aca="false">SUM(K14:K23)</f>
        <v>5600</v>
      </c>
      <c r="L24" s="11"/>
    </row>
    <row r="25" customFormat="false" ht="15" hidden="false" customHeight="true" outlineLevel="0" collapsed="false">
      <c r="A25" s="14" t="s">
        <v>55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</row>
    <row r="26" customFormat="false" ht="15" hidden="false" customHeight="true" outlineLevel="0" collapsed="false">
      <c r="A26" s="3" t="n">
        <v>46279</v>
      </c>
      <c r="B26" s="4" t="s">
        <v>1</v>
      </c>
      <c r="C26" s="5" t="s">
        <v>2</v>
      </c>
      <c r="D26" s="6" t="s">
        <v>3</v>
      </c>
      <c r="E26" s="4" t="s">
        <v>4</v>
      </c>
      <c r="F26" s="6" t="s">
        <v>4</v>
      </c>
      <c r="G26" s="4" t="n">
        <v>1</v>
      </c>
      <c r="H26" s="7" t="s">
        <v>56</v>
      </c>
      <c r="I26" s="4"/>
      <c r="J26" s="4"/>
      <c r="K26" s="4"/>
      <c r="L26" s="4"/>
    </row>
    <row r="27" customFormat="false" ht="119.25" hidden="false" customHeight="true" outlineLevel="0" collapsed="false">
      <c r="A27" s="3" t="n">
        <v>46280</v>
      </c>
      <c r="B27" s="4" t="s">
        <v>6</v>
      </c>
      <c r="C27" s="8" t="s">
        <v>7</v>
      </c>
      <c r="D27" s="6" t="s">
        <v>57</v>
      </c>
      <c r="E27" s="4" t="n">
        <v>30</v>
      </c>
      <c r="F27" s="6" t="s">
        <v>39</v>
      </c>
      <c r="G27" s="4" t="n">
        <v>6</v>
      </c>
      <c r="H27" s="7" t="s">
        <v>58</v>
      </c>
      <c r="I27" s="4" t="n">
        <v>5</v>
      </c>
      <c r="J27" s="4"/>
      <c r="K27" s="4"/>
      <c r="L27" s="4" t="n">
        <v>48</v>
      </c>
    </row>
    <row r="28" customFormat="false" ht="24" hidden="false" customHeight="true" outlineLevel="0" collapsed="false">
      <c r="A28" s="3" t="n">
        <v>46280</v>
      </c>
      <c r="B28" s="4" t="s">
        <v>6</v>
      </c>
      <c r="C28" s="9" t="s">
        <v>11</v>
      </c>
      <c r="D28" s="6" t="s">
        <v>59</v>
      </c>
      <c r="E28" s="4" t="n">
        <v>42</v>
      </c>
      <c r="F28" s="6" t="s">
        <v>9</v>
      </c>
      <c r="G28" s="4" t="n">
        <v>2</v>
      </c>
      <c r="H28" s="7" t="s">
        <v>60</v>
      </c>
      <c r="I28" s="4"/>
      <c r="J28" s="4" t="n">
        <v>19.1</v>
      </c>
      <c r="K28" s="4"/>
      <c r="L28" s="4" t="n">
        <v>63</v>
      </c>
    </row>
    <row r="29" customFormat="false" ht="36" hidden="false" customHeight="true" outlineLevel="0" collapsed="false">
      <c r="A29" s="3" t="n">
        <v>46281</v>
      </c>
      <c r="B29" s="4" t="s">
        <v>14</v>
      </c>
      <c r="C29" s="9" t="s">
        <v>11</v>
      </c>
      <c r="D29" s="6" t="s">
        <v>61</v>
      </c>
      <c r="E29" s="4" t="n">
        <v>83</v>
      </c>
      <c r="F29" s="6" t="s">
        <v>43</v>
      </c>
      <c r="G29" s="4" t="n">
        <v>5</v>
      </c>
      <c r="H29" s="7" t="s">
        <v>62</v>
      </c>
      <c r="I29" s="4"/>
      <c r="J29" s="4" t="n">
        <v>38.3</v>
      </c>
      <c r="K29" s="4"/>
      <c r="L29" s="4" t="n">
        <v>160</v>
      </c>
    </row>
    <row r="30" customFormat="false" ht="24" hidden="false" customHeight="true" outlineLevel="0" collapsed="false">
      <c r="A30" s="3" t="n">
        <v>46282</v>
      </c>
      <c r="B30" s="4" t="s">
        <v>17</v>
      </c>
      <c r="C30" s="8" t="s">
        <v>7</v>
      </c>
      <c r="D30" s="6" t="s">
        <v>18</v>
      </c>
      <c r="E30" s="4" t="n">
        <v>18</v>
      </c>
      <c r="F30" s="6" t="s">
        <v>19</v>
      </c>
      <c r="G30" s="4" t="n">
        <v>2</v>
      </c>
      <c r="H30" s="7" t="s">
        <v>45</v>
      </c>
      <c r="I30" s="4" t="n">
        <v>4</v>
      </c>
      <c r="J30" s="4"/>
      <c r="K30" s="4"/>
      <c r="L30" s="4" t="n">
        <v>26</v>
      </c>
    </row>
    <row r="31" customFormat="false" ht="24" hidden="false" customHeight="true" outlineLevel="0" collapsed="false">
      <c r="A31" s="3" t="n">
        <v>46282</v>
      </c>
      <c r="B31" s="4" t="s">
        <v>17</v>
      </c>
      <c r="C31" s="10" t="s">
        <v>27</v>
      </c>
      <c r="D31" s="6" t="s">
        <v>63</v>
      </c>
      <c r="E31" s="4" t="n">
        <v>73</v>
      </c>
      <c r="F31" s="6" t="s">
        <v>4</v>
      </c>
      <c r="G31" s="4" t="n">
        <v>3</v>
      </c>
      <c r="H31" s="7" t="s">
        <v>64</v>
      </c>
      <c r="I31" s="4"/>
      <c r="J31" s="4"/>
      <c r="K31" s="4" t="n">
        <v>1600</v>
      </c>
      <c r="L31" s="4"/>
    </row>
    <row r="32" customFormat="false" ht="24" hidden="false" customHeight="true" outlineLevel="0" collapsed="false">
      <c r="A32" s="3" t="n">
        <v>46283</v>
      </c>
      <c r="B32" s="4" t="s">
        <v>21</v>
      </c>
      <c r="C32" s="9" t="s">
        <v>11</v>
      </c>
      <c r="D32" s="6" t="s">
        <v>65</v>
      </c>
      <c r="E32" s="4" t="n">
        <v>65</v>
      </c>
      <c r="F32" s="6" t="s">
        <v>47</v>
      </c>
      <c r="G32" s="4" t="n">
        <v>3</v>
      </c>
      <c r="H32" s="7" t="s">
        <v>48</v>
      </c>
      <c r="I32" s="4"/>
      <c r="J32" s="4" t="n">
        <v>32.6</v>
      </c>
      <c r="K32" s="4"/>
      <c r="L32" s="4" t="n">
        <v>85</v>
      </c>
    </row>
    <row r="33" customFormat="false" ht="15" hidden="false" customHeight="true" outlineLevel="0" collapsed="false">
      <c r="A33" s="3" t="n">
        <v>46285</v>
      </c>
      <c r="B33" s="4" t="s">
        <v>32</v>
      </c>
      <c r="C33" s="15" t="s">
        <v>7</v>
      </c>
      <c r="D33" s="6" t="s">
        <v>66</v>
      </c>
      <c r="E33" s="4" t="s">
        <v>4</v>
      </c>
      <c r="F33" s="6" t="s">
        <v>4</v>
      </c>
      <c r="G33" s="4" t="n">
        <v>4</v>
      </c>
      <c r="H33" s="7" t="s">
        <v>67</v>
      </c>
      <c r="I33" s="4" t="n">
        <v>10</v>
      </c>
      <c r="J33" s="4" t="n">
        <v>40</v>
      </c>
      <c r="K33" s="4" t="n">
        <v>1500</v>
      </c>
      <c r="L33" s="4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2" t="s">
        <v>35</v>
      </c>
      <c r="I34" s="11" t="n">
        <f aca="false">SUM(I26:I33)</f>
        <v>19</v>
      </c>
      <c r="J34" s="11" t="n">
        <f aca="false">SUM(J26:J33)</f>
        <v>130</v>
      </c>
      <c r="K34" s="11" t="n">
        <f aca="false">SUM(K26:K33)</f>
        <v>3100</v>
      </c>
      <c r="L34" s="11"/>
    </row>
    <row r="35" customFormat="false" ht="15" hidden="false" customHeight="true" outlineLevel="0" collapsed="false">
      <c r="A35" s="16" t="s">
        <v>68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</row>
    <row r="36" customFormat="false" ht="15" hidden="false" customHeight="true" outlineLevel="0" collapsed="false">
      <c r="A36" s="3" t="n">
        <v>46286</v>
      </c>
      <c r="B36" s="4" t="s">
        <v>1</v>
      </c>
      <c r="C36" s="5" t="s">
        <v>2</v>
      </c>
      <c r="D36" s="6" t="s">
        <v>3</v>
      </c>
      <c r="E36" s="4" t="s">
        <v>4</v>
      </c>
      <c r="F36" s="6" t="s">
        <v>4</v>
      </c>
      <c r="G36" s="4" t="n">
        <v>1</v>
      </c>
      <c r="H36" s="7" t="s">
        <v>56</v>
      </c>
      <c r="I36" s="4"/>
      <c r="J36" s="4"/>
      <c r="K36" s="4"/>
      <c r="L36" s="4"/>
    </row>
    <row r="37" customFormat="false" ht="88.5" hidden="false" customHeight="true" outlineLevel="0" collapsed="false">
      <c r="A37" s="3" t="n">
        <v>46287</v>
      </c>
      <c r="B37" s="4" t="s">
        <v>6</v>
      </c>
      <c r="C37" s="8" t="s">
        <v>7</v>
      </c>
      <c r="D37" s="6" t="s">
        <v>69</v>
      </c>
      <c r="E37" s="4" t="n">
        <v>42</v>
      </c>
      <c r="F37" s="6" t="s">
        <v>39</v>
      </c>
      <c r="G37" s="4" t="n">
        <v>6</v>
      </c>
      <c r="H37" s="7" t="s">
        <v>70</v>
      </c>
      <c r="I37" s="4" t="n">
        <v>7.5</v>
      </c>
      <c r="J37" s="4"/>
      <c r="K37" s="4"/>
      <c r="L37" s="4" t="n">
        <v>75</v>
      </c>
    </row>
    <row r="38" customFormat="false" ht="24" hidden="false" customHeight="true" outlineLevel="0" collapsed="false">
      <c r="A38" s="3" t="n">
        <v>46287</v>
      </c>
      <c r="B38" s="4" t="s">
        <v>6</v>
      </c>
      <c r="C38" s="9" t="s">
        <v>11</v>
      </c>
      <c r="D38" s="6" t="s">
        <v>59</v>
      </c>
      <c r="E38" s="4" t="n">
        <v>43</v>
      </c>
      <c r="F38" s="6" t="s">
        <v>9</v>
      </c>
      <c r="G38" s="4" t="n">
        <v>2</v>
      </c>
      <c r="H38" s="7" t="s">
        <v>71</v>
      </c>
      <c r="I38" s="4"/>
      <c r="J38" s="4" t="n">
        <v>20</v>
      </c>
      <c r="K38" s="4"/>
      <c r="L38" s="4" t="n">
        <v>84</v>
      </c>
    </row>
    <row r="39" customFormat="false" ht="36" hidden="false" customHeight="true" outlineLevel="0" collapsed="false">
      <c r="A39" s="3" t="n">
        <v>46288</v>
      </c>
      <c r="B39" s="4" t="s">
        <v>14</v>
      </c>
      <c r="C39" s="9" t="s">
        <v>11</v>
      </c>
      <c r="D39" s="6" t="s">
        <v>72</v>
      </c>
      <c r="E39" s="4" t="n">
        <v>87</v>
      </c>
      <c r="F39" s="6" t="s">
        <v>43</v>
      </c>
      <c r="G39" s="4" t="n">
        <v>7</v>
      </c>
      <c r="H39" s="7" t="s">
        <v>73</v>
      </c>
      <c r="I39" s="4"/>
      <c r="J39" s="4" t="n">
        <v>40</v>
      </c>
      <c r="K39" s="4"/>
      <c r="L39" s="4" t="n">
        <v>190</v>
      </c>
    </row>
    <row r="40" customFormat="false" ht="36" hidden="false" customHeight="true" outlineLevel="0" collapsed="false">
      <c r="A40" s="3" t="n">
        <v>46289</v>
      </c>
      <c r="B40" s="4" t="s">
        <v>17</v>
      </c>
      <c r="C40" s="10" t="s">
        <v>27</v>
      </c>
      <c r="D40" s="6" t="s">
        <v>33</v>
      </c>
      <c r="E40" s="4" t="n">
        <v>18</v>
      </c>
      <c r="F40" s="6" t="s">
        <v>4</v>
      </c>
      <c r="G40" s="4" t="n">
        <v>4</v>
      </c>
      <c r="H40" s="7" t="s">
        <v>74</v>
      </c>
      <c r="I40" s="4"/>
      <c r="J40" s="4"/>
      <c r="K40" s="4" t="n">
        <v>1000</v>
      </c>
      <c r="L40" s="4"/>
    </row>
    <row r="41" customFormat="false" ht="24" hidden="false" customHeight="true" outlineLevel="0" collapsed="false">
      <c r="A41" s="3" t="n">
        <v>46289</v>
      </c>
      <c r="B41" s="4" t="s">
        <v>17</v>
      </c>
      <c r="C41" s="8" t="s">
        <v>7</v>
      </c>
      <c r="D41" s="6" t="s">
        <v>75</v>
      </c>
      <c r="E41" s="4" t="n">
        <v>31</v>
      </c>
      <c r="F41" s="6" t="s">
        <v>19</v>
      </c>
      <c r="G41" s="4" t="n">
        <v>2</v>
      </c>
      <c r="H41" s="7" t="s">
        <v>76</v>
      </c>
      <c r="I41" s="4" t="n">
        <v>5</v>
      </c>
      <c r="J41" s="4"/>
      <c r="K41" s="4"/>
      <c r="L41" s="4" t="n">
        <v>50</v>
      </c>
    </row>
    <row r="42" customFormat="false" ht="24" hidden="false" customHeight="true" outlineLevel="0" collapsed="false">
      <c r="A42" s="3" t="n">
        <v>46290</v>
      </c>
      <c r="B42" s="4" t="s">
        <v>21</v>
      </c>
      <c r="C42" s="9" t="s">
        <v>11</v>
      </c>
      <c r="D42" s="6" t="s">
        <v>65</v>
      </c>
      <c r="E42" s="4" t="n">
        <v>95</v>
      </c>
      <c r="F42" s="6" t="s">
        <v>47</v>
      </c>
      <c r="G42" s="4" t="n">
        <v>5</v>
      </c>
      <c r="H42" s="7" t="s">
        <v>48</v>
      </c>
      <c r="I42" s="4"/>
      <c r="J42" s="4" t="n">
        <v>34</v>
      </c>
      <c r="K42" s="4"/>
      <c r="L42" s="4" t="n">
        <v>126</v>
      </c>
    </row>
    <row r="43" customFormat="false" ht="36" hidden="false" customHeight="true" outlineLevel="0" collapsed="false">
      <c r="A43" s="3" t="n">
        <v>46291</v>
      </c>
      <c r="B43" s="4" t="s">
        <v>26</v>
      </c>
      <c r="C43" s="10" t="s">
        <v>27</v>
      </c>
      <c r="D43" s="6" t="s">
        <v>28</v>
      </c>
      <c r="E43" s="4" t="n">
        <v>51</v>
      </c>
      <c r="F43" s="6" t="s">
        <v>4</v>
      </c>
      <c r="G43" s="4" t="n">
        <v>3</v>
      </c>
      <c r="H43" s="7" t="s">
        <v>77</v>
      </c>
      <c r="I43" s="4"/>
      <c r="J43" s="4"/>
      <c r="K43" s="4" t="n">
        <v>2950</v>
      </c>
      <c r="L43" s="4"/>
    </row>
    <row r="44" customFormat="false" ht="24" hidden="false" customHeight="true" outlineLevel="0" collapsed="false">
      <c r="A44" s="3" t="n">
        <v>46291</v>
      </c>
      <c r="B44" s="4" t="s">
        <v>26</v>
      </c>
      <c r="C44" s="8" t="s">
        <v>7</v>
      </c>
      <c r="D44" s="6" t="s">
        <v>50</v>
      </c>
      <c r="E44" s="4" t="n">
        <v>48</v>
      </c>
      <c r="F44" s="6" t="s">
        <v>9</v>
      </c>
      <c r="G44" s="4" t="n">
        <v>5</v>
      </c>
      <c r="H44" s="7" t="s">
        <v>78</v>
      </c>
      <c r="I44" s="4" t="n">
        <v>8</v>
      </c>
      <c r="J44" s="4"/>
      <c r="K44" s="4"/>
      <c r="L44" s="4" t="n">
        <v>82</v>
      </c>
    </row>
    <row r="45" customFormat="false" ht="36" hidden="false" customHeight="true" outlineLevel="0" collapsed="false">
      <c r="A45" s="3" t="n">
        <v>46292</v>
      </c>
      <c r="B45" s="4" t="s">
        <v>32</v>
      </c>
      <c r="C45" s="9" t="s">
        <v>11</v>
      </c>
      <c r="D45" s="6" t="s">
        <v>79</v>
      </c>
      <c r="E45" s="4" t="n">
        <v>230</v>
      </c>
      <c r="F45" s="6" t="s">
        <v>47</v>
      </c>
      <c r="G45" s="4" t="n">
        <v>6</v>
      </c>
      <c r="H45" s="7" t="s">
        <v>80</v>
      </c>
      <c r="I45" s="4"/>
      <c r="J45" s="4" t="n">
        <v>106</v>
      </c>
      <c r="K45" s="4"/>
      <c r="L45" s="4" t="n">
        <v>346</v>
      </c>
    </row>
    <row r="46" customFormat="false" ht="36" hidden="false" customHeight="true" outlineLevel="0" collapsed="false">
      <c r="A46" s="3" t="n">
        <v>46292</v>
      </c>
      <c r="B46" s="4" t="s">
        <v>32</v>
      </c>
      <c r="C46" s="10" t="s">
        <v>27</v>
      </c>
      <c r="D46" s="6" t="s">
        <v>33</v>
      </c>
      <c r="E46" s="4" t="n">
        <v>30</v>
      </c>
      <c r="F46" s="6" t="s">
        <v>4</v>
      </c>
      <c r="G46" s="4" t="n">
        <v>4</v>
      </c>
      <c r="H46" s="7" t="s">
        <v>81</v>
      </c>
      <c r="I46" s="4"/>
      <c r="J46" s="4"/>
      <c r="K46" s="4" t="n">
        <v>1750</v>
      </c>
      <c r="L46" s="4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  <c r="G47" s="11"/>
      <c r="H47" s="12" t="s">
        <v>35</v>
      </c>
      <c r="I47" s="11" t="n">
        <f aca="false">SUM(I36:I46)</f>
        <v>20.5</v>
      </c>
      <c r="J47" s="11" t="n">
        <f aca="false">SUM(J36:J46)</f>
        <v>200</v>
      </c>
      <c r="K47" s="11" t="n">
        <f aca="false">SUM(K36:K46)</f>
        <v>5700</v>
      </c>
      <c r="L47" s="11"/>
    </row>
    <row r="48" customFormat="false" ht="15" hidden="false" customHeight="true" outlineLevel="0" collapsed="false">
      <c r="A48" s="14" t="s">
        <v>82</v>
      </c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</row>
    <row r="49" customFormat="false" ht="15" hidden="false" customHeight="true" outlineLevel="0" collapsed="false">
      <c r="A49" s="3" t="n">
        <v>46293</v>
      </c>
      <c r="B49" s="4" t="s">
        <v>1</v>
      </c>
      <c r="C49" s="5" t="s">
        <v>2</v>
      </c>
      <c r="D49" s="6" t="s">
        <v>3</v>
      </c>
      <c r="E49" s="4" t="s">
        <v>4</v>
      </c>
      <c r="F49" s="6" t="s">
        <v>4</v>
      </c>
      <c r="G49" s="4" t="n">
        <v>1</v>
      </c>
      <c r="H49" s="7" t="s">
        <v>56</v>
      </c>
      <c r="I49" s="4"/>
      <c r="J49" s="4"/>
      <c r="K49" s="4"/>
      <c r="L49" s="4"/>
    </row>
    <row r="50" customFormat="false" ht="108" hidden="false" customHeight="true" outlineLevel="0" collapsed="false">
      <c r="A50" s="3" t="n">
        <v>46294</v>
      </c>
      <c r="B50" s="4" t="s">
        <v>6</v>
      </c>
      <c r="C50" s="8" t="s">
        <v>7</v>
      </c>
      <c r="D50" s="6" t="s">
        <v>83</v>
      </c>
      <c r="E50" s="4" t="n">
        <v>33</v>
      </c>
      <c r="F50" s="6" t="s">
        <v>39</v>
      </c>
      <c r="G50" s="4" t="n">
        <v>6</v>
      </c>
      <c r="H50" s="7" t="s">
        <v>84</v>
      </c>
      <c r="I50" s="4" t="n">
        <v>6</v>
      </c>
      <c r="J50" s="4"/>
      <c r="K50" s="4"/>
      <c r="L50" s="4" t="n">
        <v>48</v>
      </c>
    </row>
    <row r="51" customFormat="false" ht="24" hidden="false" customHeight="true" outlineLevel="0" collapsed="false">
      <c r="A51" s="3" t="n">
        <v>46294</v>
      </c>
      <c r="B51" s="4" t="s">
        <v>6</v>
      </c>
      <c r="C51" s="9" t="s">
        <v>11</v>
      </c>
      <c r="D51" s="6" t="s">
        <v>59</v>
      </c>
      <c r="E51" s="4" t="n">
        <v>52</v>
      </c>
      <c r="F51" s="6" t="s">
        <v>9</v>
      </c>
      <c r="G51" s="4" t="n">
        <v>2</v>
      </c>
      <c r="H51" s="7" t="s">
        <v>85</v>
      </c>
      <c r="I51" s="4"/>
      <c r="J51" s="4" t="n">
        <v>21</v>
      </c>
      <c r="K51" s="4"/>
      <c r="L51" s="4" t="n">
        <v>13</v>
      </c>
    </row>
    <row r="52" customFormat="false" ht="60" hidden="false" customHeight="true" outlineLevel="0" collapsed="false">
      <c r="A52" s="3" t="n">
        <v>46295</v>
      </c>
      <c r="B52" s="4" t="s">
        <v>14</v>
      </c>
      <c r="C52" s="9" t="s">
        <v>11</v>
      </c>
      <c r="D52" s="6" t="s">
        <v>86</v>
      </c>
      <c r="E52" s="4" t="n">
        <v>118</v>
      </c>
      <c r="F52" s="6" t="s">
        <v>43</v>
      </c>
      <c r="G52" s="4" t="n">
        <v>5</v>
      </c>
      <c r="H52" s="7" t="s">
        <v>87</v>
      </c>
      <c r="I52" s="4"/>
      <c r="J52" s="4" t="n">
        <v>55</v>
      </c>
      <c r="K52" s="4"/>
      <c r="L52" s="4" t="n">
        <v>73</v>
      </c>
    </row>
    <row r="53" customFormat="false" ht="36" hidden="false" customHeight="true" outlineLevel="0" collapsed="false">
      <c r="A53" s="3" t="n">
        <v>46296</v>
      </c>
      <c r="B53" s="4" t="s">
        <v>17</v>
      </c>
      <c r="C53" s="10" t="s">
        <v>27</v>
      </c>
      <c r="D53" s="6" t="s">
        <v>28</v>
      </c>
      <c r="E53" s="4" t="n">
        <v>58</v>
      </c>
      <c r="F53" s="6" t="s">
        <v>4</v>
      </c>
      <c r="G53" s="4" t="n">
        <v>3</v>
      </c>
      <c r="H53" s="7" t="s">
        <v>88</v>
      </c>
      <c r="I53" s="4"/>
      <c r="J53" s="4"/>
      <c r="K53" s="4" t="n">
        <v>1700</v>
      </c>
      <c r="L53" s="4"/>
    </row>
    <row r="54" customFormat="false" ht="24" hidden="false" customHeight="true" outlineLevel="0" collapsed="false">
      <c r="A54" s="3" t="n">
        <v>46296</v>
      </c>
      <c r="B54" s="4" t="s">
        <v>17</v>
      </c>
      <c r="C54" s="8" t="s">
        <v>7</v>
      </c>
      <c r="D54" s="6" t="s">
        <v>18</v>
      </c>
      <c r="E54" s="4" t="n">
        <v>17</v>
      </c>
      <c r="F54" s="6" t="s">
        <v>19</v>
      </c>
      <c r="G54" s="4" t="n">
        <v>2</v>
      </c>
      <c r="H54" s="7" t="s">
        <v>89</v>
      </c>
      <c r="I54" s="4" t="n">
        <v>3</v>
      </c>
      <c r="J54" s="4"/>
      <c r="K54" s="4"/>
      <c r="L54" s="4" t="n">
        <v>26</v>
      </c>
    </row>
    <row r="55" customFormat="false" ht="48" hidden="false" customHeight="true" outlineLevel="0" collapsed="false">
      <c r="A55" s="3" t="n">
        <v>46297</v>
      </c>
      <c r="B55" s="4" t="s">
        <v>21</v>
      </c>
      <c r="C55" s="9" t="s">
        <v>11</v>
      </c>
      <c r="D55" s="6" t="s">
        <v>46</v>
      </c>
      <c r="E55" s="4" t="n">
        <v>70</v>
      </c>
      <c r="F55" s="6" t="s">
        <v>47</v>
      </c>
      <c r="G55" s="4" t="n">
        <v>3</v>
      </c>
      <c r="H55" s="7" t="s">
        <v>90</v>
      </c>
      <c r="I55" s="4"/>
      <c r="J55" s="4" t="n">
        <v>29</v>
      </c>
      <c r="K55" s="4"/>
      <c r="L55" s="4" t="n">
        <v>53</v>
      </c>
    </row>
    <row r="56" customFormat="false" ht="24" hidden="false" customHeight="true" outlineLevel="0" collapsed="false">
      <c r="A56" s="3" t="n">
        <v>46298</v>
      </c>
      <c r="B56" s="4" t="s">
        <v>26</v>
      </c>
      <c r="C56" s="8" t="s">
        <v>7</v>
      </c>
      <c r="D56" s="6" t="s">
        <v>91</v>
      </c>
      <c r="E56" s="4" t="n">
        <v>34</v>
      </c>
      <c r="F56" s="6" t="s">
        <v>9</v>
      </c>
      <c r="G56" s="4" t="n">
        <v>5</v>
      </c>
      <c r="H56" s="7" t="s">
        <v>92</v>
      </c>
      <c r="I56" s="4" t="n">
        <v>6</v>
      </c>
      <c r="J56" s="4"/>
      <c r="K56" s="4"/>
      <c r="L56" s="4" t="n">
        <v>27</v>
      </c>
    </row>
    <row r="57" customFormat="false" ht="36" hidden="false" customHeight="true" outlineLevel="0" collapsed="false">
      <c r="A57" s="3" t="n">
        <v>46299</v>
      </c>
      <c r="B57" s="4" t="s">
        <v>32</v>
      </c>
      <c r="C57" s="10" t="s">
        <v>27</v>
      </c>
      <c r="D57" s="6" t="s">
        <v>33</v>
      </c>
      <c r="E57" s="4" t="n">
        <v>46</v>
      </c>
      <c r="F57" s="6" t="s">
        <v>4</v>
      </c>
      <c r="G57" s="4" t="n">
        <v>4</v>
      </c>
      <c r="H57" s="7" t="s">
        <v>93</v>
      </c>
      <c r="I57" s="4"/>
      <c r="J57" s="4"/>
      <c r="K57" s="4" t="n">
        <v>1600</v>
      </c>
      <c r="L57" s="4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2" t="s">
        <v>35</v>
      </c>
      <c r="I58" s="11" t="n">
        <f aca="false">SUM(I49:I57)</f>
        <v>15</v>
      </c>
      <c r="J58" s="11" t="n">
        <f aca="false">SUM(J49:J57)</f>
        <v>105</v>
      </c>
      <c r="K58" s="11" t="n">
        <f aca="false">SUM(K49:K57)</f>
        <v>3300</v>
      </c>
      <c r="L58" s="11"/>
    </row>
    <row r="59" customFormat="false" ht="15" hidden="false" customHeight="true" outlineLevel="0" collapsed="false">
      <c r="A59" s="16" t="s">
        <v>94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</row>
    <row r="60" customFormat="false" ht="15" hidden="false" customHeight="true" outlineLevel="0" collapsed="false">
      <c r="A60" s="3" t="n">
        <v>46300</v>
      </c>
      <c r="B60" s="4" t="s">
        <v>1</v>
      </c>
      <c r="C60" s="5" t="s">
        <v>2</v>
      </c>
      <c r="D60" s="6" t="s">
        <v>3</v>
      </c>
      <c r="E60" s="4" t="s">
        <v>4</v>
      </c>
      <c r="F60" s="6" t="s">
        <v>4</v>
      </c>
      <c r="G60" s="4" t="n">
        <v>1</v>
      </c>
      <c r="H60" s="7" t="s">
        <v>56</v>
      </c>
      <c r="I60" s="4"/>
      <c r="J60" s="4"/>
      <c r="K60" s="4"/>
      <c r="L60" s="4"/>
    </row>
    <row r="61" customFormat="false" ht="84" hidden="false" customHeight="true" outlineLevel="0" collapsed="false">
      <c r="A61" s="3" t="n">
        <v>46301</v>
      </c>
      <c r="B61" s="4" t="s">
        <v>6</v>
      </c>
      <c r="C61" s="8" t="s">
        <v>7</v>
      </c>
      <c r="D61" s="6" t="s">
        <v>95</v>
      </c>
      <c r="E61" s="4" t="n">
        <v>34</v>
      </c>
      <c r="F61" s="6" t="s">
        <v>47</v>
      </c>
      <c r="G61" s="4" t="n">
        <v>5</v>
      </c>
      <c r="H61" s="7" t="s">
        <v>96</v>
      </c>
      <c r="I61" s="4" t="n">
        <v>6</v>
      </c>
      <c r="J61" s="4"/>
      <c r="K61" s="4"/>
      <c r="L61" s="4" t="n">
        <v>75</v>
      </c>
    </row>
    <row r="62" customFormat="false" ht="24" hidden="false" customHeight="true" outlineLevel="0" collapsed="false">
      <c r="A62" s="3" t="n">
        <v>46301</v>
      </c>
      <c r="B62" s="4" t="s">
        <v>6</v>
      </c>
      <c r="C62" s="9" t="s">
        <v>11</v>
      </c>
      <c r="D62" s="6" t="s">
        <v>59</v>
      </c>
      <c r="E62" s="4" t="n">
        <v>43</v>
      </c>
      <c r="F62" s="6" t="s">
        <v>9</v>
      </c>
      <c r="G62" s="4" t="n">
        <v>2</v>
      </c>
      <c r="H62" s="7" t="s">
        <v>97</v>
      </c>
      <c r="I62" s="4"/>
      <c r="J62" s="4" t="n">
        <v>20</v>
      </c>
      <c r="K62" s="4"/>
      <c r="L62" s="4" t="n">
        <v>26</v>
      </c>
    </row>
    <row r="63" customFormat="false" ht="60" hidden="false" customHeight="true" outlineLevel="0" collapsed="false">
      <c r="A63" s="3" t="n">
        <v>46302</v>
      </c>
      <c r="B63" s="4" t="s">
        <v>14</v>
      </c>
      <c r="C63" s="9" t="s">
        <v>11</v>
      </c>
      <c r="D63" s="6" t="s">
        <v>98</v>
      </c>
      <c r="E63" s="4" t="n">
        <v>101</v>
      </c>
      <c r="F63" s="6" t="s">
        <v>43</v>
      </c>
      <c r="G63" s="4" t="n">
        <v>6</v>
      </c>
      <c r="H63" s="7" t="s">
        <v>99</v>
      </c>
      <c r="I63" s="4"/>
      <c r="J63" s="4" t="n">
        <v>47</v>
      </c>
      <c r="K63" s="4"/>
      <c r="L63" s="4" t="n">
        <v>174</v>
      </c>
    </row>
    <row r="64" customFormat="false" ht="36" hidden="false" customHeight="true" outlineLevel="0" collapsed="false">
      <c r="A64" s="3" t="n">
        <v>46303</v>
      </c>
      <c r="B64" s="4" t="s">
        <v>17</v>
      </c>
      <c r="C64" s="10" t="s">
        <v>27</v>
      </c>
      <c r="D64" s="6" t="s">
        <v>33</v>
      </c>
      <c r="E64" s="4" t="n">
        <v>46</v>
      </c>
      <c r="F64" s="6" t="s">
        <v>4</v>
      </c>
      <c r="G64" s="4" t="n">
        <v>4</v>
      </c>
      <c r="H64" s="7" t="s">
        <v>100</v>
      </c>
      <c r="I64" s="4"/>
      <c r="J64" s="4"/>
      <c r="K64" s="4" t="n">
        <v>1600</v>
      </c>
      <c r="L64" s="4"/>
    </row>
    <row r="65" customFormat="false" ht="36" hidden="false" customHeight="true" outlineLevel="0" collapsed="false">
      <c r="A65" s="3" t="n">
        <v>46303</v>
      </c>
      <c r="B65" s="4" t="s">
        <v>17</v>
      </c>
      <c r="C65" s="8" t="s">
        <v>7</v>
      </c>
      <c r="D65" s="6" t="s">
        <v>75</v>
      </c>
      <c r="E65" s="4" t="n">
        <v>37</v>
      </c>
      <c r="F65" s="6" t="s">
        <v>19</v>
      </c>
      <c r="G65" s="4" t="n">
        <v>2</v>
      </c>
      <c r="H65" s="7" t="s">
        <v>101</v>
      </c>
      <c r="I65" s="4" t="n">
        <v>6</v>
      </c>
      <c r="J65" s="4"/>
      <c r="K65" s="4"/>
      <c r="L65" s="4" t="n">
        <v>50</v>
      </c>
    </row>
    <row r="66" customFormat="false" ht="48" hidden="false" customHeight="true" outlineLevel="0" collapsed="false">
      <c r="A66" s="3" t="n">
        <v>46304</v>
      </c>
      <c r="B66" s="4" t="s">
        <v>21</v>
      </c>
      <c r="C66" s="9" t="s">
        <v>11</v>
      </c>
      <c r="D66" s="6" t="s">
        <v>65</v>
      </c>
      <c r="E66" s="4" t="n">
        <v>81</v>
      </c>
      <c r="F66" s="6" t="s">
        <v>47</v>
      </c>
      <c r="G66" s="4" t="n">
        <v>5</v>
      </c>
      <c r="H66" s="7" t="s">
        <v>102</v>
      </c>
      <c r="I66" s="4"/>
      <c r="J66" s="4" t="n">
        <v>38</v>
      </c>
      <c r="K66" s="4"/>
      <c r="L66" s="4" t="n">
        <v>109</v>
      </c>
    </row>
    <row r="67" customFormat="false" ht="48" hidden="false" customHeight="true" outlineLevel="0" collapsed="false">
      <c r="A67" s="3" t="n">
        <v>46305</v>
      </c>
      <c r="B67" s="4" t="s">
        <v>26</v>
      </c>
      <c r="C67" s="10" t="s">
        <v>27</v>
      </c>
      <c r="D67" s="6" t="s">
        <v>103</v>
      </c>
      <c r="E67" s="4" t="n">
        <v>80</v>
      </c>
      <c r="F67" s="6" t="s">
        <v>4</v>
      </c>
      <c r="G67" s="4" t="n">
        <v>4</v>
      </c>
      <c r="H67" s="7" t="s">
        <v>104</v>
      </c>
      <c r="I67" s="4"/>
      <c r="J67" s="4"/>
      <c r="K67" s="4" t="n">
        <v>2600</v>
      </c>
      <c r="L67" s="4"/>
    </row>
    <row r="68" customFormat="false" ht="24" hidden="false" customHeight="true" outlineLevel="0" collapsed="false">
      <c r="A68" s="3" t="n">
        <v>46305</v>
      </c>
      <c r="B68" s="4" t="s">
        <v>26</v>
      </c>
      <c r="C68" s="8" t="s">
        <v>7</v>
      </c>
      <c r="D68" s="6" t="s">
        <v>105</v>
      </c>
      <c r="E68" s="4" t="n">
        <v>62</v>
      </c>
      <c r="F68" s="6" t="s">
        <v>9</v>
      </c>
      <c r="G68" s="4" t="n">
        <v>5</v>
      </c>
      <c r="H68" s="7" t="s">
        <v>106</v>
      </c>
      <c r="I68" s="4" t="n">
        <v>10</v>
      </c>
      <c r="J68" s="4"/>
      <c r="K68" s="4"/>
      <c r="L68" s="4" t="n">
        <v>50</v>
      </c>
    </row>
    <row r="69" customFormat="false" ht="36" hidden="false" customHeight="true" outlineLevel="0" collapsed="false">
      <c r="A69" s="3" t="n">
        <v>46306</v>
      </c>
      <c r="B69" s="4" t="s">
        <v>32</v>
      </c>
      <c r="C69" s="9" t="s">
        <v>11</v>
      </c>
      <c r="D69" s="6" t="s">
        <v>107</v>
      </c>
      <c r="E69" s="4" t="n">
        <v>214</v>
      </c>
      <c r="F69" s="6" t="s">
        <v>47</v>
      </c>
      <c r="G69" s="4" t="n">
        <v>6</v>
      </c>
      <c r="H69" s="7" t="s">
        <v>108</v>
      </c>
      <c r="I69" s="4"/>
      <c r="J69" s="4" t="n">
        <v>100</v>
      </c>
      <c r="K69" s="4"/>
      <c r="L69" s="4" t="n">
        <v>321</v>
      </c>
    </row>
    <row r="70" customFormat="false" ht="36" hidden="false" customHeight="true" outlineLevel="0" collapsed="false">
      <c r="A70" s="3" t="n">
        <v>46306</v>
      </c>
      <c r="B70" s="4" t="s">
        <v>32</v>
      </c>
      <c r="C70" s="10" t="s">
        <v>27</v>
      </c>
      <c r="D70" s="6" t="s">
        <v>109</v>
      </c>
      <c r="E70" s="4" t="n">
        <v>57</v>
      </c>
      <c r="F70" s="6" t="s">
        <v>4</v>
      </c>
      <c r="G70" s="4" t="n">
        <v>7</v>
      </c>
      <c r="H70" s="7" t="s">
        <v>110</v>
      </c>
      <c r="I70" s="4"/>
      <c r="J70" s="4"/>
      <c r="K70" s="4" t="n">
        <v>1800</v>
      </c>
      <c r="L70" s="4"/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2" t="s">
        <v>35</v>
      </c>
      <c r="I71" s="11" t="n">
        <f aca="false">SUM(I60:I70)</f>
        <v>22</v>
      </c>
      <c r="J71" s="11" t="n">
        <f aca="false">SUM(J60:J70)</f>
        <v>205</v>
      </c>
      <c r="K71" s="11" t="n">
        <f aca="false">SUM(K60:K70)</f>
        <v>6000</v>
      </c>
      <c r="L71" s="11"/>
    </row>
    <row r="72" customFormat="false" ht="15" hidden="false" customHeight="true" outlineLevel="0" collapsed="false">
      <c r="A72" s="16" t="s">
        <v>111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</row>
    <row r="73" customFormat="false" ht="15" hidden="false" customHeight="true" outlineLevel="0" collapsed="false">
      <c r="A73" s="3" t="n">
        <v>46307</v>
      </c>
      <c r="B73" s="4" t="s">
        <v>1</v>
      </c>
      <c r="C73" s="5" t="s">
        <v>2</v>
      </c>
      <c r="D73" s="6" t="s">
        <v>3</v>
      </c>
      <c r="E73" s="4" t="s">
        <v>4</v>
      </c>
      <c r="F73" s="6" t="s">
        <v>4</v>
      </c>
      <c r="G73" s="4" t="n">
        <v>1</v>
      </c>
      <c r="H73" s="7" t="s">
        <v>56</v>
      </c>
      <c r="I73" s="4"/>
      <c r="J73" s="4"/>
      <c r="K73" s="4"/>
      <c r="L73" s="4"/>
    </row>
    <row r="74" customFormat="false" ht="96" hidden="false" customHeight="true" outlineLevel="0" collapsed="false">
      <c r="A74" s="3" t="n">
        <v>46308</v>
      </c>
      <c r="B74" s="4" t="s">
        <v>6</v>
      </c>
      <c r="C74" s="8" t="s">
        <v>7</v>
      </c>
      <c r="D74" s="6" t="s">
        <v>112</v>
      </c>
      <c r="E74" s="4" t="n">
        <v>38</v>
      </c>
      <c r="F74" s="6" t="s">
        <v>39</v>
      </c>
      <c r="G74" s="4" t="n">
        <v>6</v>
      </c>
      <c r="H74" s="7" t="s">
        <v>113</v>
      </c>
      <c r="I74" s="4" t="n">
        <v>7</v>
      </c>
      <c r="J74" s="4"/>
      <c r="K74" s="4"/>
      <c r="L74" s="4" t="n">
        <v>72</v>
      </c>
    </row>
    <row r="75" customFormat="false" ht="24" hidden="false" customHeight="true" outlineLevel="0" collapsed="false">
      <c r="A75" s="3" t="n">
        <v>46308</v>
      </c>
      <c r="B75" s="4" t="s">
        <v>6</v>
      </c>
      <c r="C75" s="9" t="s">
        <v>11</v>
      </c>
      <c r="D75" s="6" t="s">
        <v>59</v>
      </c>
      <c r="E75" s="4" t="n">
        <v>43</v>
      </c>
      <c r="F75" s="6" t="s">
        <v>9</v>
      </c>
      <c r="G75" s="4" t="n">
        <v>2</v>
      </c>
      <c r="H75" s="7" t="s">
        <v>97</v>
      </c>
      <c r="I75" s="4"/>
      <c r="J75" s="4" t="n">
        <v>20</v>
      </c>
      <c r="K75" s="4"/>
      <c r="L75" s="4" t="n">
        <v>26</v>
      </c>
    </row>
    <row r="76" customFormat="false" ht="60" hidden="false" customHeight="true" outlineLevel="0" collapsed="false">
      <c r="A76" s="3" t="n">
        <v>46309</v>
      </c>
      <c r="B76" s="4" t="s">
        <v>14</v>
      </c>
      <c r="C76" s="9" t="s">
        <v>11</v>
      </c>
      <c r="D76" s="6" t="s">
        <v>114</v>
      </c>
      <c r="E76" s="4" t="n">
        <v>107</v>
      </c>
      <c r="F76" s="6" t="s">
        <v>39</v>
      </c>
      <c r="G76" s="4" t="n">
        <v>7</v>
      </c>
      <c r="H76" s="7" t="s">
        <v>115</v>
      </c>
      <c r="I76" s="4"/>
      <c r="J76" s="4" t="n">
        <v>50</v>
      </c>
      <c r="K76" s="4"/>
      <c r="L76" s="4" t="n">
        <v>186</v>
      </c>
    </row>
    <row r="77" customFormat="false" ht="36" hidden="false" customHeight="true" outlineLevel="0" collapsed="false">
      <c r="A77" s="3" t="n">
        <v>46310</v>
      </c>
      <c r="B77" s="4" t="s">
        <v>17</v>
      </c>
      <c r="C77" s="10" t="s">
        <v>27</v>
      </c>
      <c r="D77" s="6" t="s">
        <v>33</v>
      </c>
      <c r="E77" s="4" t="n">
        <v>50</v>
      </c>
      <c r="F77" s="6" t="s">
        <v>4</v>
      </c>
      <c r="G77" s="4" t="n">
        <v>4</v>
      </c>
      <c r="H77" s="7" t="s">
        <v>116</v>
      </c>
      <c r="I77" s="4"/>
      <c r="J77" s="4"/>
      <c r="K77" s="4" t="n">
        <v>1750</v>
      </c>
      <c r="L77" s="4"/>
    </row>
    <row r="78" customFormat="false" ht="36" hidden="false" customHeight="true" outlineLevel="0" collapsed="false">
      <c r="A78" s="3" t="n">
        <v>46310</v>
      </c>
      <c r="B78" s="4" t="s">
        <v>17</v>
      </c>
      <c r="C78" s="8" t="s">
        <v>7</v>
      </c>
      <c r="D78" s="6" t="s">
        <v>75</v>
      </c>
      <c r="E78" s="4" t="n">
        <v>37</v>
      </c>
      <c r="F78" s="6" t="s">
        <v>19</v>
      </c>
      <c r="G78" s="4" t="n">
        <v>2</v>
      </c>
      <c r="H78" s="7" t="s">
        <v>101</v>
      </c>
      <c r="I78" s="4" t="n">
        <v>6</v>
      </c>
      <c r="J78" s="4"/>
      <c r="K78" s="4"/>
      <c r="L78" s="4" t="n">
        <v>50</v>
      </c>
    </row>
    <row r="79" customFormat="false" ht="48" hidden="false" customHeight="true" outlineLevel="0" collapsed="false">
      <c r="A79" s="3" t="n">
        <v>46311</v>
      </c>
      <c r="B79" s="4" t="s">
        <v>21</v>
      </c>
      <c r="C79" s="9" t="s">
        <v>11</v>
      </c>
      <c r="D79" s="6" t="s">
        <v>65</v>
      </c>
      <c r="E79" s="4" t="n">
        <v>86</v>
      </c>
      <c r="F79" s="6" t="s">
        <v>47</v>
      </c>
      <c r="G79" s="4" t="n">
        <v>5</v>
      </c>
      <c r="H79" s="7" t="s">
        <v>117</v>
      </c>
      <c r="I79" s="4"/>
      <c r="J79" s="4" t="n">
        <v>40</v>
      </c>
      <c r="K79" s="4"/>
      <c r="L79" s="4" t="n">
        <v>116</v>
      </c>
    </row>
    <row r="80" customFormat="false" ht="48" hidden="false" customHeight="true" outlineLevel="0" collapsed="false">
      <c r="A80" s="3" t="n">
        <v>46312</v>
      </c>
      <c r="B80" s="4" t="s">
        <v>26</v>
      </c>
      <c r="C80" s="10" t="s">
        <v>27</v>
      </c>
      <c r="D80" s="6" t="s">
        <v>103</v>
      </c>
      <c r="E80" s="4" t="n">
        <v>83</v>
      </c>
      <c r="F80" s="6" t="s">
        <v>4</v>
      </c>
      <c r="G80" s="4" t="n">
        <v>4</v>
      </c>
      <c r="H80" s="7" t="s">
        <v>118</v>
      </c>
      <c r="I80" s="4"/>
      <c r="J80" s="4"/>
      <c r="K80" s="4" t="n">
        <v>2750</v>
      </c>
      <c r="L80" s="4"/>
    </row>
    <row r="81" customFormat="false" ht="24" hidden="false" customHeight="true" outlineLevel="0" collapsed="false">
      <c r="A81" s="3" t="n">
        <v>46312</v>
      </c>
      <c r="B81" s="4" t="s">
        <v>26</v>
      </c>
      <c r="C81" s="8" t="s">
        <v>7</v>
      </c>
      <c r="D81" s="6" t="s">
        <v>119</v>
      </c>
      <c r="E81" s="4" t="n">
        <v>68</v>
      </c>
      <c r="F81" s="6" t="s">
        <v>9</v>
      </c>
      <c r="G81" s="4" t="n">
        <v>5</v>
      </c>
      <c r="H81" s="7" t="s">
        <v>120</v>
      </c>
      <c r="I81" s="4" t="n">
        <v>11</v>
      </c>
      <c r="J81" s="4"/>
      <c r="K81" s="4"/>
      <c r="L81" s="4" t="n">
        <v>54</v>
      </c>
    </row>
    <row r="82" customFormat="false" ht="36" hidden="false" customHeight="true" outlineLevel="0" collapsed="false">
      <c r="A82" s="3" t="n">
        <v>46313</v>
      </c>
      <c r="B82" s="4" t="s">
        <v>32</v>
      </c>
      <c r="C82" s="9" t="s">
        <v>11</v>
      </c>
      <c r="D82" s="6" t="s">
        <v>121</v>
      </c>
      <c r="E82" s="4" t="n">
        <v>225</v>
      </c>
      <c r="F82" s="6" t="s">
        <v>47</v>
      </c>
      <c r="G82" s="4" t="n">
        <v>6</v>
      </c>
      <c r="H82" s="7" t="s">
        <v>122</v>
      </c>
      <c r="I82" s="4"/>
      <c r="J82" s="4" t="n">
        <v>105</v>
      </c>
      <c r="K82" s="4"/>
      <c r="L82" s="4" t="n">
        <v>338</v>
      </c>
    </row>
    <row r="83" customFormat="false" ht="36" hidden="false" customHeight="true" outlineLevel="0" collapsed="false">
      <c r="A83" s="3" t="n">
        <v>46313</v>
      </c>
      <c r="B83" s="4" t="s">
        <v>32</v>
      </c>
      <c r="C83" s="10" t="s">
        <v>27</v>
      </c>
      <c r="D83" s="6" t="s">
        <v>33</v>
      </c>
      <c r="E83" s="4" t="n">
        <v>53</v>
      </c>
      <c r="F83" s="6" t="s">
        <v>4</v>
      </c>
      <c r="G83" s="4" t="n">
        <v>4</v>
      </c>
      <c r="H83" s="7" t="s">
        <v>123</v>
      </c>
      <c r="I83" s="4"/>
      <c r="J83" s="4"/>
      <c r="K83" s="4" t="n">
        <v>1900</v>
      </c>
      <c r="L83" s="4"/>
    </row>
    <row r="84" customFormat="false" ht="15" hidden="false" customHeight="true" outlineLevel="0" collapsed="false">
      <c r="A84" s="11"/>
      <c r="B84" s="11"/>
      <c r="C84" s="11"/>
      <c r="D84" s="11"/>
      <c r="E84" s="11"/>
      <c r="F84" s="11"/>
      <c r="G84" s="11"/>
      <c r="H84" s="12" t="s">
        <v>35</v>
      </c>
      <c r="I84" s="11" t="n">
        <f aca="false">SUM(I73:I83)</f>
        <v>24</v>
      </c>
      <c r="J84" s="11" t="n">
        <f aca="false">SUM(J73:J83)</f>
        <v>215</v>
      </c>
      <c r="K84" s="11" t="n">
        <f aca="false">SUM(K73:K83)</f>
        <v>6400</v>
      </c>
      <c r="L84" s="11"/>
    </row>
    <row r="85" customFormat="false" ht="15" hidden="false" customHeight="true" outlineLevel="0" collapsed="false">
      <c r="A85" s="16" t="s">
        <v>124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</row>
    <row r="86" customFormat="false" ht="15" hidden="false" customHeight="true" outlineLevel="0" collapsed="false">
      <c r="A86" s="3" t="n">
        <v>46314</v>
      </c>
      <c r="B86" s="4" t="s">
        <v>1</v>
      </c>
      <c r="C86" s="5" t="s">
        <v>2</v>
      </c>
      <c r="D86" s="6" t="s">
        <v>3</v>
      </c>
      <c r="E86" s="4" t="s">
        <v>4</v>
      </c>
      <c r="F86" s="6" t="s">
        <v>4</v>
      </c>
      <c r="G86" s="4" t="n">
        <v>1</v>
      </c>
      <c r="H86" s="7" t="s">
        <v>56</v>
      </c>
      <c r="I86" s="4"/>
      <c r="J86" s="4"/>
      <c r="K86" s="4"/>
      <c r="L86" s="4"/>
    </row>
    <row r="87" customFormat="false" ht="84" hidden="false" customHeight="true" outlineLevel="0" collapsed="false">
      <c r="A87" s="3" t="n">
        <v>46315</v>
      </c>
      <c r="B87" s="4" t="s">
        <v>6</v>
      </c>
      <c r="C87" s="8" t="s">
        <v>7</v>
      </c>
      <c r="D87" s="6" t="s">
        <v>38</v>
      </c>
      <c r="E87" s="4" t="n">
        <v>43</v>
      </c>
      <c r="F87" s="6" t="s">
        <v>39</v>
      </c>
      <c r="G87" s="4" t="n">
        <v>6</v>
      </c>
      <c r="H87" s="7" t="s">
        <v>125</v>
      </c>
      <c r="I87" s="4" t="n">
        <v>7.5</v>
      </c>
      <c r="J87" s="4"/>
      <c r="K87" s="4"/>
      <c r="L87" s="4" t="n">
        <v>75</v>
      </c>
    </row>
    <row r="88" customFormat="false" ht="24" hidden="false" customHeight="true" outlineLevel="0" collapsed="false">
      <c r="A88" s="3" t="n">
        <v>46315</v>
      </c>
      <c r="B88" s="4" t="s">
        <v>6</v>
      </c>
      <c r="C88" s="9" t="s">
        <v>11</v>
      </c>
      <c r="D88" s="6" t="s">
        <v>59</v>
      </c>
      <c r="E88" s="4" t="n">
        <v>43</v>
      </c>
      <c r="F88" s="6" t="s">
        <v>9</v>
      </c>
      <c r="G88" s="4" t="n">
        <v>2</v>
      </c>
      <c r="H88" s="7" t="s">
        <v>97</v>
      </c>
      <c r="I88" s="4"/>
      <c r="J88" s="4" t="n">
        <v>20</v>
      </c>
      <c r="K88" s="4"/>
      <c r="L88" s="4" t="n">
        <v>26</v>
      </c>
    </row>
    <row r="89" customFormat="false" ht="60" hidden="false" customHeight="true" outlineLevel="0" collapsed="false">
      <c r="A89" s="3" t="n">
        <v>46316</v>
      </c>
      <c r="B89" s="4" t="s">
        <v>14</v>
      </c>
      <c r="C89" s="9" t="s">
        <v>11</v>
      </c>
      <c r="D89" s="6" t="s">
        <v>126</v>
      </c>
      <c r="E89" s="4" t="n">
        <v>111</v>
      </c>
      <c r="F89" s="6" t="s">
        <v>127</v>
      </c>
      <c r="G89" s="4" t="n">
        <v>8</v>
      </c>
      <c r="H89" s="7" t="s">
        <v>128</v>
      </c>
      <c r="I89" s="4"/>
      <c r="J89" s="4" t="n">
        <v>52</v>
      </c>
      <c r="K89" s="4"/>
      <c r="L89" s="4" t="n">
        <v>196</v>
      </c>
    </row>
    <row r="90" customFormat="false" ht="36" hidden="false" customHeight="true" outlineLevel="0" collapsed="false">
      <c r="A90" s="3" t="n">
        <v>46317</v>
      </c>
      <c r="B90" s="4" t="s">
        <v>17</v>
      </c>
      <c r="C90" s="10" t="s">
        <v>27</v>
      </c>
      <c r="D90" s="6" t="s">
        <v>33</v>
      </c>
      <c r="E90" s="4" t="n">
        <v>52</v>
      </c>
      <c r="F90" s="6" t="s">
        <v>4</v>
      </c>
      <c r="G90" s="4" t="n">
        <v>4</v>
      </c>
      <c r="H90" s="7" t="s">
        <v>129</v>
      </c>
      <c r="I90" s="4"/>
      <c r="J90" s="4"/>
      <c r="K90" s="4" t="n">
        <v>1850</v>
      </c>
      <c r="L90" s="4"/>
    </row>
    <row r="91" customFormat="false" ht="36" hidden="false" customHeight="true" outlineLevel="0" collapsed="false">
      <c r="A91" s="3" t="n">
        <v>46317</v>
      </c>
      <c r="B91" s="4" t="s">
        <v>17</v>
      </c>
      <c r="C91" s="8" t="s">
        <v>7</v>
      </c>
      <c r="D91" s="6" t="s">
        <v>75</v>
      </c>
      <c r="E91" s="4" t="n">
        <v>43</v>
      </c>
      <c r="F91" s="6" t="s">
        <v>19</v>
      </c>
      <c r="G91" s="4" t="n">
        <v>2</v>
      </c>
      <c r="H91" s="7" t="s">
        <v>130</v>
      </c>
      <c r="I91" s="4" t="n">
        <v>7</v>
      </c>
      <c r="J91" s="4"/>
      <c r="K91" s="4"/>
      <c r="L91" s="4" t="n">
        <v>50</v>
      </c>
    </row>
    <row r="92" customFormat="false" ht="48" hidden="false" customHeight="true" outlineLevel="0" collapsed="false">
      <c r="A92" s="3" t="n">
        <v>46318</v>
      </c>
      <c r="B92" s="4" t="s">
        <v>21</v>
      </c>
      <c r="C92" s="9" t="s">
        <v>11</v>
      </c>
      <c r="D92" s="6" t="s">
        <v>65</v>
      </c>
      <c r="E92" s="4" t="n">
        <v>92</v>
      </c>
      <c r="F92" s="6" t="s">
        <v>47</v>
      </c>
      <c r="G92" s="4" t="n">
        <v>5</v>
      </c>
      <c r="H92" s="7" t="s">
        <v>131</v>
      </c>
      <c r="I92" s="4"/>
      <c r="J92" s="4" t="n">
        <v>43</v>
      </c>
      <c r="K92" s="4"/>
      <c r="L92" s="4" t="n">
        <v>124</v>
      </c>
    </row>
    <row r="93" customFormat="false" ht="48" hidden="false" customHeight="true" outlineLevel="0" collapsed="false">
      <c r="A93" s="3" t="n">
        <v>46319</v>
      </c>
      <c r="B93" s="4" t="s">
        <v>26</v>
      </c>
      <c r="C93" s="10" t="s">
        <v>27</v>
      </c>
      <c r="D93" s="6" t="s">
        <v>103</v>
      </c>
      <c r="E93" s="4" t="n">
        <v>87</v>
      </c>
      <c r="F93" s="6" t="s">
        <v>4</v>
      </c>
      <c r="G93" s="4" t="n">
        <v>4</v>
      </c>
      <c r="H93" s="7" t="s">
        <v>132</v>
      </c>
      <c r="I93" s="4"/>
      <c r="J93" s="4"/>
      <c r="K93" s="4" t="n">
        <v>2900</v>
      </c>
      <c r="L93" s="4"/>
    </row>
    <row r="94" customFormat="false" ht="24" hidden="false" customHeight="true" outlineLevel="0" collapsed="false">
      <c r="A94" s="3" t="n">
        <v>46319</v>
      </c>
      <c r="B94" s="4" t="s">
        <v>26</v>
      </c>
      <c r="C94" s="8" t="s">
        <v>7</v>
      </c>
      <c r="D94" s="6" t="s">
        <v>133</v>
      </c>
      <c r="E94" s="4" t="n">
        <v>74</v>
      </c>
      <c r="F94" s="6" t="s">
        <v>9</v>
      </c>
      <c r="G94" s="4" t="n">
        <v>5</v>
      </c>
      <c r="H94" s="7" t="s">
        <v>134</v>
      </c>
      <c r="I94" s="4" t="n">
        <v>12</v>
      </c>
      <c r="J94" s="4"/>
      <c r="K94" s="4"/>
      <c r="L94" s="4" t="n">
        <v>59</v>
      </c>
    </row>
    <row r="95" customFormat="false" ht="36" hidden="false" customHeight="true" outlineLevel="0" collapsed="false">
      <c r="A95" s="3" t="n">
        <v>46320</v>
      </c>
      <c r="B95" s="4" t="s">
        <v>32</v>
      </c>
      <c r="C95" s="9" t="s">
        <v>11</v>
      </c>
      <c r="D95" s="6" t="s">
        <v>135</v>
      </c>
      <c r="E95" s="4" t="n">
        <v>236</v>
      </c>
      <c r="F95" s="6" t="s">
        <v>47</v>
      </c>
      <c r="G95" s="4" t="n">
        <v>6</v>
      </c>
      <c r="H95" s="7" t="s">
        <v>136</v>
      </c>
      <c r="I95" s="4"/>
      <c r="J95" s="4" t="n">
        <v>110</v>
      </c>
      <c r="K95" s="4"/>
      <c r="L95" s="4" t="n">
        <v>354</v>
      </c>
    </row>
    <row r="96" customFormat="false" ht="36" hidden="false" customHeight="true" outlineLevel="0" collapsed="false">
      <c r="A96" s="3" t="n">
        <v>46320</v>
      </c>
      <c r="B96" s="4" t="s">
        <v>32</v>
      </c>
      <c r="C96" s="10" t="s">
        <v>27</v>
      </c>
      <c r="D96" s="6" t="s">
        <v>33</v>
      </c>
      <c r="E96" s="4" t="n">
        <v>56</v>
      </c>
      <c r="F96" s="6" t="s">
        <v>4</v>
      </c>
      <c r="G96" s="4" t="n">
        <v>4</v>
      </c>
      <c r="H96" s="7" t="s">
        <v>137</v>
      </c>
      <c r="I96" s="4"/>
      <c r="J96" s="4"/>
      <c r="K96" s="4" t="n">
        <v>2050</v>
      </c>
      <c r="L96" s="4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2" t="s">
        <v>35</v>
      </c>
      <c r="I97" s="11" t="n">
        <f aca="false">SUM(I86:I96)</f>
        <v>26.5</v>
      </c>
      <c r="J97" s="11" t="n">
        <f aca="false">SUM(J86:J96)</f>
        <v>225</v>
      </c>
      <c r="K97" s="11" t="n">
        <f aca="false">SUM(K86:K96)</f>
        <v>6800</v>
      </c>
      <c r="L97" s="11"/>
    </row>
    <row r="98" customFormat="false" ht="15" hidden="false" customHeight="true" outlineLevel="0" collapsed="false">
      <c r="A98" s="14" t="s">
        <v>138</v>
      </c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</row>
    <row r="99" customFormat="false" ht="15" hidden="false" customHeight="true" outlineLevel="0" collapsed="false">
      <c r="A99" s="3" t="n">
        <v>46321</v>
      </c>
      <c r="B99" s="4" t="s">
        <v>1</v>
      </c>
      <c r="C99" s="5" t="s">
        <v>2</v>
      </c>
      <c r="D99" s="6" t="s">
        <v>3</v>
      </c>
      <c r="E99" s="4" t="s">
        <v>4</v>
      </c>
      <c r="F99" s="6" t="s">
        <v>4</v>
      </c>
      <c r="G99" s="4" t="n">
        <v>1</v>
      </c>
      <c r="H99" s="7" t="s">
        <v>56</v>
      </c>
      <c r="I99" s="4"/>
      <c r="J99" s="4"/>
      <c r="K99" s="4"/>
      <c r="L99" s="4"/>
    </row>
    <row r="100" customFormat="false" ht="108" hidden="false" customHeight="true" outlineLevel="0" collapsed="false">
      <c r="A100" s="3" t="n">
        <v>46322</v>
      </c>
      <c r="B100" s="4" t="s">
        <v>6</v>
      </c>
      <c r="C100" s="8" t="s">
        <v>7</v>
      </c>
      <c r="D100" s="6" t="s">
        <v>57</v>
      </c>
      <c r="E100" s="4" t="n">
        <v>28</v>
      </c>
      <c r="F100" s="6" t="s">
        <v>39</v>
      </c>
      <c r="G100" s="4" t="n">
        <v>6</v>
      </c>
      <c r="H100" s="7" t="s">
        <v>139</v>
      </c>
      <c r="I100" s="4" t="n">
        <v>5</v>
      </c>
      <c r="J100" s="4"/>
      <c r="K100" s="4"/>
      <c r="L100" s="4" t="n">
        <v>48</v>
      </c>
    </row>
    <row r="101" customFormat="false" ht="24" hidden="false" customHeight="true" outlineLevel="0" collapsed="false">
      <c r="A101" s="3" t="n">
        <v>46322</v>
      </c>
      <c r="B101" s="4" t="s">
        <v>6</v>
      </c>
      <c r="C101" s="9" t="s">
        <v>11</v>
      </c>
      <c r="D101" s="6" t="s">
        <v>59</v>
      </c>
      <c r="E101" s="4" t="n">
        <v>32</v>
      </c>
      <c r="F101" s="6" t="s">
        <v>9</v>
      </c>
      <c r="G101" s="4" t="n">
        <v>2</v>
      </c>
      <c r="H101" s="7" t="s">
        <v>140</v>
      </c>
      <c r="I101" s="4"/>
      <c r="J101" s="4" t="n">
        <v>15</v>
      </c>
      <c r="K101" s="4"/>
      <c r="L101" s="4" t="n">
        <v>19</v>
      </c>
    </row>
    <row r="102" customFormat="false" ht="60" hidden="false" customHeight="true" outlineLevel="0" collapsed="false">
      <c r="A102" s="3" t="n">
        <v>46323</v>
      </c>
      <c r="B102" s="4" t="s">
        <v>14</v>
      </c>
      <c r="C102" s="9" t="s">
        <v>11</v>
      </c>
      <c r="D102" s="6" t="s">
        <v>141</v>
      </c>
      <c r="E102" s="4" t="n">
        <v>77</v>
      </c>
      <c r="F102" s="6" t="s">
        <v>43</v>
      </c>
      <c r="G102" s="4" t="n">
        <v>5</v>
      </c>
      <c r="H102" s="7" t="s">
        <v>142</v>
      </c>
      <c r="I102" s="4"/>
      <c r="J102" s="4" t="n">
        <v>36</v>
      </c>
      <c r="K102" s="4"/>
      <c r="L102" s="4" t="n">
        <v>138</v>
      </c>
    </row>
    <row r="103" customFormat="false" ht="36" hidden="false" customHeight="true" outlineLevel="0" collapsed="false">
      <c r="A103" s="3" t="n">
        <v>46324</v>
      </c>
      <c r="B103" s="4" t="s">
        <v>17</v>
      </c>
      <c r="C103" s="10" t="s">
        <v>27</v>
      </c>
      <c r="D103" s="6" t="s">
        <v>33</v>
      </c>
      <c r="E103" s="4" t="n">
        <v>37</v>
      </c>
      <c r="F103" s="6" t="s">
        <v>4</v>
      </c>
      <c r="G103" s="4" t="n">
        <v>4</v>
      </c>
      <c r="H103" s="7" t="s">
        <v>143</v>
      </c>
      <c r="I103" s="4"/>
      <c r="J103" s="4"/>
      <c r="K103" s="4" t="n">
        <v>1200</v>
      </c>
      <c r="L103" s="4"/>
    </row>
    <row r="104" customFormat="false" ht="24" hidden="false" customHeight="true" outlineLevel="0" collapsed="false">
      <c r="A104" s="3" t="n">
        <v>46324</v>
      </c>
      <c r="B104" s="4" t="s">
        <v>17</v>
      </c>
      <c r="C104" s="8" t="s">
        <v>7</v>
      </c>
      <c r="D104" s="6" t="s">
        <v>18</v>
      </c>
      <c r="E104" s="4" t="n">
        <v>31</v>
      </c>
      <c r="F104" s="6" t="s">
        <v>19</v>
      </c>
      <c r="G104" s="4" t="n">
        <v>2</v>
      </c>
      <c r="H104" s="7" t="s">
        <v>144</v>
      </c>
      <c r="I104" s="4" t="n">
        <v>5</v>
      </c>
      <c r="J104" s="4"/>
      <c r="K104" s="4"/>
      <c r="L104" s="4" t="n">
        <v>26</v>
      </c>
    </row>
    <row r="105" customFormat="false" ht="48" hidden="false" customHeight="true" outlineLevel="0" collapsed="false">
      <c r="A105" s="3" t="n">
        <v>46325</v>
      </c>
      <c r="B105" s="4" t="s">
        <v>21</v>
      </c>
      <c r="C105" s="9" t="s">
        <v>11</v>
      </c>
      <c r="D105" s="6" t="s">
        <v>46</v>
      </c>
      <c r="E105" s="4" t="n">
        <v>62</v>
      </c>
      <c r="F105" s="6" t="s">
        <v>47</v>
      </c>
      <c r="G105" s="4" t="n">
        <v>3</v>
      </c>
      <c r="H105" s="7" t="s">
        <v>145</v>
      </c>
      <c r="I105" s="4"/>
      <c r="J105" s="4" t="n">
        <v>29</v>
      </c>
      <c r="K105" s="4"/>
      <c r="L105" s="4" t="n">
        <v>84</v>
      </c>
    </row>
    <row r="106" customFormat="false" ht="48" hidden="false" customHeight="true" outlineLevel="0" collapsed="false">
      <c r="A106" s="3" t="n">
        <v>46326</v>
      </c>
      <c r="B106" s="4" t="s">
        <v>26</v>
      </c>
      <c r="C106" s="10" t="s">
        <v>27</v>
      </c>
      <c r="D106" s="6" t="s">
        <v>103</v>
      </c>
      <c r="E106" s="4" t="n">
        <v>64</v>
      </c>
      <c r="F106" s="6" t="s">
        <v>4</v>
      </c>
      <c r="G106" s="4" t="n">
        <v>4</v>
      </c>
      <c r="H106" s="7" t="s">
        <v>146</v>
      </c>
      <c r="I106" s="4"/>
      <c r="J106" s="4"/>
      <c r="K106" s="4" t="n">
        <v>1950</v>
      </c>
      <c r="L106" s="4"/>
    </row>
    <row r="107" customFormat="false" ht="24" hidden="false" customHeight="true" outlineLevel="0" collapsed="false">
      <c r="A107" s="3" t="n">
        <v>46326</v>
      </c>
      <c r="B107" s="4" t="s">
        <v>26</v>
      </c>
      <c r="C107" s="8" t="s">
        <v>7</v>
      </c>
      <c r="D107" s="6" t="s">
        <v>147</v>
      </c>
      <c r="E107" s="4" t="n">
        <v>49</v>
      </c>
      <c r="F107" s="6" t="s">
        <v>9</v>
      </c>
      <c r="G107" s="4" t="n">
        <v>5</v>
      </c>
      <c r="H107" s="7" t="s">
        <v>148</v>
      </c>
      <c r="I107" s="4" t="n">
        <v>8</v>
      </c>
      <c r="J107" s="4"/>
      <c r="K107" s="4"/>
      <c r="L107" s="4" t="n">
        <v>39</v>
      </c>
    </row>
    <row r="108" customFormat="false" ht="48" hidden="false" customHeight="true" outlineLevel="0" collapsed="false">
      <c r="A108" s="3" t="n">
        <v>46327</v>
      </c>
      <c r="B108" s="4" t="s">
        <v>32</v>
      </c>
      <c r="C108" s="9" t="s">
        <v>11</v>
      </c>
      <c r="D108" s="6" t="s">
        <v>149</v>
      </c>
      <c r="E108" s="4" t="n">
        <v>150</v>
      </c>
      <c r="F108" s="6" t="s">
        <v>47</v>
      </c>
      <c r="G108" s="4" t="n">
        <v>4</v>
      </c>
      <c r="H108" s="7" t="s">
        <v>150</v>
      </c>
      <c r="I108" s="4"/>
      <c r="J108" s="4" t="n">
        <v>70</v>
      </c>
      <c r="K108" s="4"/>
      <c r="L108" s="4" t="n">
        <v>225</v>
      </c>
    </row>
    <row r="109" customFormat="false" ht="36" hidden="false" customHeight="true" outlineLevel="0" collapsed="false">
      <c r="A109" s="3" t="n">
        <v>46327</v>
      </c>
      <c r="B109" s="4" t="s">
        <v>32</v>
      </c>
      <c r="C109" s="10" t="s">
        <v>27</v>
      </c>
      <c r="D109" s="6" t="s">
        <v>33</v>
      </c>
      <c r="E109" s="4" t="n">
        <v>40</v>
      </c>
      <c r="F109" s="6" t="s">
        <v>4</v>
      </c>
      <c r="G109" s="4" t="n">
        <v>4</v>
      </c>
      <c r="H109" s="7" t="s">
        <v>151</v>
      </c>
      <c r="I109" s="4"/>
      <c r="J109" s="4"/>
      <c r="K109" s="4" t="n">
        <v>1350</v>
      </c>
      <c r="L109" s="4"/>
    </row>
    <row r="110" customFormat="false" ht="15" hidden="false" customHeight="true" outlineLevel="0" collapsed="false">
      <c r="A110" s="11"/>
      <c r="B110" s="11"/>
      <c r="C110" s="11"/>
      <c r="D110" s="11"/>
      <c r="E110" s="11"/>
      <c r="F110" s="11"/>
      <c r="G110" s="11"/>
      <c r="H110" s="12" t="s">
        <v>35</v>
      </c>
      <c r="I110" s="11" t="n">
        <f aca="false">SUM(I99:I109)</f>
        <v>18</v>
      </c>
      <c r="J110" s="11" t="n">
        <f aca="false">SUM(J99:J109)</f>
        <v>150</v>
      </c>
      <c r="K110" s="11" t="n">
        <f aca="false">SUM(K99:K109)</f>
        <v>4500</v>
      </c>
      <c r="L110" s="11"/>
    </row>
    <row r="111" customFormat="false" ht="15" hidden="false" customHeight="true" outlineLevel="0" collapsed="false">
      <c r="A111" s="16" t="s">
        <v>152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</row>
    <row r="112" customFormat="false" ht="15" hidden="false" customHeight="true" outlineLevel="0" collapsed="false">
      <c r="A112" s="3" t="n">
        <v>46328</v>
      </c>
      <c r="B112" s="4" t="s">
        <v>1</v>
      </c>
      <c r="C112" s="5" t="s">
        <v>2</v>
      </c>
      <c r="D112" s="6" t="s">
        <v>3</v>
      </c>
      <c r="E112" s="4" t="s">
        <v>4</v>
      </c>
      <c r="F112" s="6" t="s">
        <v>4</v>
      </c>
      <c r="G112" s="4" t="n">
        <v>1</v>
      </c>
      <c r="H112" s="7" t="s">
        <v>56</v>
      </c>
      <c r="I112" s="4"/>
      <c r="J112" s="4"/>
      <c r="K112" s="4"/>
      <c r="L112" s="4"/>
    </row>
    <row r="113" customFormat="false" ht="168" hidden="false" customHeight="true" outlineLevel="0" collapsed="false">
      <c r="A113" s="3" t="n">
        <v>46329</v>
      </c>
      <c r="B113" s="4" t="s">
        <v>6</v>
      </c>
      <c r="C113" s="8" t="s">
        <v>7</v>
      </c>
      <c r="D113" s="6" t="s">
        <v>153</v>
      </c>
      <c r="E113" s="4" t="n">
        <v>31</v>
      </c>
      <c r="F113" s="6" t="s">
        <v>39</v>
      </c>
      <c r="G113" s="4" t="n">
        <v>7</v>
      </c>
      <c r="H113" s="7" t="s">
        <v>154</v>
      </c>
      <c r="I113" s="4" t="n">
        <v>5.5</v>
      </c>
      <c r="J113" s="4"/>
      <c r="K113" s="4"/>
      <c r="L113" s="4" t="n">
        <v>75</v>
      </c>
    </row>
    <row r="114" customFormat="false" ht="24" hidden="false" customHeight="true" outlineLevel="0" collapsed="false">
      <c r="A114" s="3" t="n">
        <v>46329</v>
      </c>
      <c r="B114" s="4" t="s">
        <v>6</v>
      </c>
      <c r="C114" s="9" t="s">
        <v>11</v>
      </c>
      <c r="D114" s="6" t="s">
        <v>59</v>
      </c>
      <c r="E114" s="4" t="n">
        <v>43</v>
      </c>
      <c r="F114" s="6" t="s">
        <v>9</v>
      </c>
      <c r="G114" s="4" t="n">
        <v>2</v>
      </c>
      <c r="H114" s="7" t="s">
        <v>97</v>
      </c>
      <c r="I114" s="4"/>
      <c r="J114" s="4" t="n">
        <v>20</v>
      </c>
      <c r="K114" s="4"/>
      <c r="L114" s="4" t="n">
        <v>26</v>
      </c>
    </row>
    <row r="115" customFormat="false" ht="60" hidden="false" customHeight="true" outlineLevel="0" collapsed="false">
      <c r="A115" s="3" t="n">
        <v>46330</v>
      </c>
      <c r="B115" s="4" t="s">
        <v>14</v>
      </c>
      <c r="C115" s="9" t="s">
        <v>11</v>
      </c>
      <c r="D115" s="6" t="s">
        <v>155</v>
      </c>
      <c r="E115" s="4" t="n">
        <v>116</v>
      </c>
      <c r="F115" s="6" t="s">
        <v>43</v>
      </c>
      <c r="G115" s="4" t="n">
        <v>6</v>
      </c>
      <c r="H115" s="7" t="s">
        <v>156</v>
      </c>
      <c r="I115" s="4"/>
      <c r="J115" s="4" t="n">
        <v>54</v>
      </c>
      <c r="K115" s="4"/>
      <c r="L115" s="4" t="n">
        <v>206</v>
      </c>
    </row>
    <row r="116" customFormat="false" ht="36" hidden="false" customHeight="true" outlineLevel="0" collapsed="false">
      <c r="A116" s="3" t="n">
        <v>46331</v>
      </c>
      <c r="B116" s="4" t="s">
        <v>17</v>
      </c>
      <c r="C116" s="10" t="s">
        <v>27</v>
      </c>
      <c r="D116" s="6" t="s">
        <v>33</v>
      </c>
      <c r="E116" s="4" t="n">
        <v>53</v>
      </c>
      <c r="F116" s="6" t="s">
        <v>4</v>
      </c>
      <c r="G116" s="4" t="n">
        <v>4</v>
      </c>
      <c r="H116" s="7" t="s">
        <v>157</v>
      </c>
      <c r="I116" s="4"/>
      <c r="J116" s="4"/>
      <c r="K116" s="4" t="n">
        <v>1900</v>
      </c>
      <c r="L116" s="4"/>
    </row>
    <row r="117" customFormat="false" ht="36" hidden="false" customHeight="true" outlineLevel="0" collapsed="false">
      <c r="A117" s="3" t="n">
        <v>46331</v>
      </c>
      <c r="B117" s="4" t="s">
        <v>17</v>
      </c>
      <c r="C117" s="8" t="s">
        <v>7</v>
      </c>
      <c r="D117" s="6" t="s">
        <v>75</v>
      </c>
      <c r="E117" s="4" t="n">
        <v>34</v>
      </c>
      <c r="F117" s="6" t="s">
        <v>19</v>
      </c>
      <c r="G117" s="4" t="n">
        <v>2</v>
      </c>
      <c r="H117" s="7" t="s">
        <v>158</v>
      </c>
      <c r="I117" s="4" t="n">
        <v>5.5</v>
      </c>
      <c r="J117" s="4"/>
      <c r="K117" s="4"/>
      <c r="L117" s="4" t="n">
        <v>50</v>
      </c>
    </row>
    <row r="118" customFormat="false" ht="24" hidden="false" customHeight="true" outlineLevel="0" collapsed="false">
      <c r="A118" s="3" t="n">
        <v>46332</v>
      </c>
      <c r="B118" s="4" t="s">
        <v>21</v>
      </c>
      <c r="C118" s="8" t="s">
        <v>7</v>
      </c>
      <c r="D118" s="6" t="s">
        <v>22</v>
      </c>
      <c r="E118" s="4" t="n">
        <v>27</v>
      </c>
      <c r="F118" s="6" t="s">
        <v>19</v>
      </c>
      <c r="G118" s="4" t="n">
        <v>2</v>
      </c>
      <c r="H118" s="7" t="s">
        <v>159</v>
      </c>
      <c r="I118" s="4" t="n">
        <v>4</v>
      </c>
      <c r="J118" s="4"/>
      <c r="K118" s="4"/>
      <c r="L118" s="4" t="n">
        <v>20</v>
      </c>
    </row>
    <row r="119" customFormat="false" ht="48" hidden="false" customHeight="true" outlineLevel="0" collapsed="false">
      <c r="A119" s="3" t="n">
        <v>46332</v>
      </c>
      <c r="B119" s="4" t="s">
        <v>21</v>
      </c>
      <c r="C119" s="9" t="s">
        <v>11</v>
      </c>
      <c r="D119" s="6" t="s">
        <v>65</v>
      </c>
      <c r="E119" s="4" t="n">
        <v>94</v>
      </c>
      <c r="F119" s="6" t="s">
        <v>47</v>
      </c>
      <c r="G119" s="4" t="n">
        <v>5</v>
      </c>
      <c r="H119" s="7" t="s">
        <v>160</v>
      </c>
      <c r="I119" s="4"/>
      <c r="J119" s="4" t="n">
        <v>44</v>
      </c>
      <c r="K119" s="4"/>
      <c r="L119" s="4" t="n">
        <v>127</v>
      </c>
    </row>
    <row r="120" customFormat="false" ht="48" hidden="false" customHeight="true" outlineLevel="0" collapsed="false">
      <c r="A120" s="3" t="n">
        <v>46333</v>
      </c>
      <c r="B120" s="4" t="s">
        <v>26</v>
      </c>
      <c r="C120" s="10" t="s">
        <v>27</v>
      </c>
      <c r="D120" s="6" t="s">
        <v>103</v>
      </c>
      <c r="E120" s="4" t="n">
        <v>89</v>
      </c>
      <c r="F120" s="6" t="s">
        <v>4</v>
      </c>
      <c r="G120" s="4" t="n">
        <v>4</v>
      </c>
      <c r="H120" s="7" t="s">
        <v>161</v>
      </c>
      <c r="I120" s="4"/>
      <c r="J120" s="4"/>
      <c r="K120" s="4" t="n">
        <v>3000</v>
      </c>
      <c r="L120" s="4"/>
    </row>
    <row r="121" customFormat="false" ht="24" hidden="false" customHeight="true" outlineLevel="0" collapsed="false">
      <c r="A121" s="3" t="n">
        <v>46333</v>
      </c>
      <c r="B121" s="4" t="s">
        <v>26</v>
      </c>
      <c r="C121" s="8" t="s">
        <v>7</v>
      </c>
      <c r="D121" s="6" t="s">
        <v>162</v>
      </c>
      <c r="E121" s="4" t="n">
        <v>80</v>
      </c>
      <c r="F121" s="6" t="s">
        <v>9</v>
      </c>
      <c r="G121" s="4" t="n">
        <v>6</v>
      </c>
      <c r="H121" s="7" t="s">
        <v>163</v>
      </c>
      <c r="I121" s="4" t="n">
        <v>13</v>
      </c>
      <c r="J121" s="4"/>
      <c r="K121" s="4"/>
      <c r="L121" s="4" t="n">
        <v>64</v>
      </c>
    </row>
    <row r="122" customFormat="false" ht="36" hidden="false" customHeight="true" outlineLevel="0" collapsed="false">
      <c r="A122" s="3" t="n">
        <v>46334</v>
      </c>
      <c r="B122" s="4" t="s">
        <v>32</v>
      </c>
      <c r="C122" s="9" t="s">
        <v>11</v>
      </c>
      <c r="D122" s="6" t="s">
        <v>164</v>
      </c>
      <c r="E122" s="4" t="n">
        <v>240</v>
      </c>
      <c r="F122" s="6" t="s">
        <v>47</v>
      </c>
      <c r="G122" s="4" t="n">
        <v>6</v>
      </c>
      <c r="H122" s="7" t="s">
        <v>165</v>
      </c>
      <c r="I122" s="4"/>
      <c r="J122" s="4" t="n">
        <v>112</v>
      </c>
      <c r="K122" s="4"/>
      <c r="L122" s="4" t="n">
        <v>360</v>
      </c>
    </row>
    <row r="123" customFormat="false" ht="36" hidden="false" customHeight="true" outlineLevel="0" collapsed="false">
      <c r="A123" s="3" t="n">
        <v>46334</v>
      </c>
      <c r="B123" s="4" t="s">
        <v>32</v>
      </c>
      <c r="C123" s="10" t="s">
        <v>27</v>
      </c>
      <c r="D123" s="6" t="s">
        <v>166</v>
      </c>
      <c r="E123" s="4" t="n">
        <v>58</v>
      </c>
      <c r="F123" s="6" t="s">
        <v>4</v>
      </c>
      <c r="G123" s="4" t="n">
        <v>6</v>
      </c>
      <c r="H123" s="7" t="s">
        <v>167</v>
      </c>
      <c r="I123" s="4"/>
      <c r="J123" s="4"/>
      <c r="K123" s="4" t="n">
        <v>2100</v>
      </c>
      <c r="L123" s="4"/>
    </row>
    <row r="124" customFormat="false" ht="15" hidden="false" customHeight="true" outlineLevel="0" collapsed="false">
      <c r="A124" s="11"/>
      <c r="B124" s="11"/>
      <c r="C124" s="11"/>
      <c r="D124" s="11"/>
      <c r="E124" s="11"/>
      <c r="F124" s="11"/>
      <c r="G124" s="11"/>
      <c r="H124" s="12" t="s">
        <v>35</v>
      </c>
      <c r="I124" s="11" t="n">
        <f aca="false">SUM(I112:I123)</f>
        <v>28</v>
      </c>
      <c r="J124" s="11" t="n">
        <f aca="false">SUM(J112:J123)</f>
        <v>230</v>
      </c>
      <c r="K124" s="11" t="n">
        <f aca="false">SUM(K112:K123)</f>
        <v>7000</v>
      </c>
      <c r="L124" s="11"/>
    </row>
    <row r="125" customFormat="false" ht="15" hidden="false" customHeight="true" outlineLevel="0" collapsed="false">
      <c r="A125" s="16" t="s">
        <v>168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</row>
    <row r="126" customFormat="false" ht="15" hidden="false" customHeight="true" outlineLevel="0" collapsed="false">
      <c r="A126" s="3" t="n">
        <v>46335</v>
      </c>
      <c r="B126" s="4" t="s">
        <v>1</v>
      </c>
      <c r="C126" s="5" t="s">
        <v>2</v>
      </c>
      <c r="D126" s="6" t="s">
        <v>3</v>
      </c>
      <c r="E126" s="4" t="s">
        <v>4</v>
      </c>
      <c r="F126" s="6" t="s">
        <v>4</v>
      </c>
      <c r="G126" s="4" t="n">
        <v>1</v>
      </c>
      <c r="H126" s="7" t="s">
        <v>56</v>
      </c>
      <c r="I126" s="4"/>
      <c r="J126" s="4"/>
      <c r="K126" s="4"/>
      <c r="L126" s="4"/>
    </row>
    <row r="127" customFormat="false" ht="108" hidden="false" customHeight="true" outlineLevel="0" collapsed="false">
      <c r="A127" s="3" t="n">
        <v>46336</v>
      </c>
      <c r="B127" s="4" t="s">
        <v>6</v>
      </c>
      <c r="C127" s="8" t="s">
        <v>7</v>
      </c>
      <c r="D127" s="6" t="s">
        <v>169</v>
      </c>
      <c r="E127" s="4" t="n">
        <v>40</v>
      </c>
      <c r="F127" s="6" t="s">
        <v>39</v>
      </c>
      <c r="G127" s="4" t="n">
        <v>6</v>
      </c>
      <c r="H127" s="7" t="s">
        <v>170</v>
      </c>
      <c r="I127" s="4" t="n">
        <v>7</v>
      </c>
      <c r="J127" s="4"/>
      <c r="K127" s="4"/>
      <c r="L127" s="4" t="n">
        <v>75</v>
      </c>
    </row>
    <row r="128" customFormat="false" ht="24" hidden="false" customHeight="true" outlineLevel="0" collapsed="false">
      <c r="A128" s="3" t="n">
        <v>46336</v>
      </c>
      <c r="B128" s="4" t="s">
        <v>6</v>
      </c>
      <c r="C128" s="9" t="s">
        <v>11</v>
      </c>
      <c r="D128" s="6" t="s">
        <v>59</v>
      </c>
      <c r="E128" s="4" t="n">
        <v>43</v>
      </c>
      <c r="F128" s="6" t="s">
        <v>9</v>
      </c>
      <c r="G128" s="4" t="n">
        <v>2</v>
      </c>
      <c r="H128" s="7" t="s">
        <v>97</v>
      </c>
      <c r="I128" s="4"/>
      <c r="J128" s="4" t="n">
        <v>20</v>
      </c>
      <c r="K128" s="4"/>
      <c r="L128" s="4" t="n">
        <v>26</v>
      </c>
    </row>
    <row r="129" customFormat="false" ht="60" hidden="false" customHeight="true" outlineLevel="0" collapsed="false">
      <c r="A129" s="3" t="n">
        <v>46337</v>
      </c>
      <c r="B129" s="4" t="s">
        <v>14</v>
      </c>
      <c r="C129" s="9" t="s">
        <v>11</v>
      </c>
      <c r="D129" s="6" t="s">
        <v>171</v>
      </c>
      <c r="E129" s="4" t="n">
        <v>122</v>
      </c>
      <c r="F129" s="6" t="s">
        <v>172</v>
      </c>
      <c r="G129" s="4" t="n">
        <v>8</v>
      </c>
      <c r="H129" s="7" t="s">
        <v>173</v>
      </c>
      <c r="I129" s="4"/>
      <c r="J129" s="4" t="n">
        <v>57</v>
      </c>
      <c r="K129" s="4"/>
      <c r="L129" s="4" t="n">
        <v>216</v>
      </c>
    </row>
    <row r="130" customFormat="false" ht="36" hidden="false" customHeight="true" outlineLevel="0" collapsed="false">
      <c r="A130" s="3" t="n">
        <v>46338</v>
      </c>
      <c r="B130" s="4" t="s">
        <v>17</v>
      </c>
      <c r="C130" s="10" t="s">
        <v>27</v>
      </c>
      <c r="D130" s="6" t="s">
        <v>33</v>
      </c>
      <c r="E130" s="4" t="n">
        <v>54</v>
      </c>
      <c r="F130" s="6" t="s">
        <v>4</v>
      </c>
      <c r="G130" s="4" t="n">
        <v>4</v>
      </c>
      <c r="H130" s="7" t="s">
        <v>174</v>
      </c>
      <c r="I130" s="4"/>
      <c r="J130" s="4"/>
      <c r="K130" s="4" t="n">
        <v>1950</v>
      </c>
      <c r="L130" s="4"/>
    </row>
    <row r="131" customFormat="false" ht="36" hidden="false" customHeight="true" outlineLevel="0" collapsed="false">
      <c r="A131" s="3" t="n">
        <v>46338</v>
      </c>
      <c r="B131" s="4" t="s">
        <v>17</v>
      </c>
      <c r="C131" s="8" t="s">
        <v>7</v>
      </c>
      <c r="D131" s="6" t="s">
        <v>75</v>
      </c>
      <c r="E131" s="4" t="n">
        <v>37</v>
      </c>
      <c r="F131" s="6" t="s">
        <v>19</v>
      </c>
      <c r="G131" s="4" t="n">
        <v>2</v>
      </c>
      <c r="H131" s="7" t="s">
        <v>101</v>
      </c>
      <c r="I131" s="4" t="n">
        <v>6</v>
      </c>
      <c r="J131" s="4"/>
      <c r="K131" s="4"/>
      <c r="L131" s="4" t="n">
        <v>50</v>
      </c>
    </row>
    <row r="132" customFormat="false" ht="24" hidden="false" customHeight="true" outlineLevel="0" collapsed="false">
      <c r="A132" s="3" t="n">
        <v>46339</v>
      </c>
      <c r="B132" s="4" t="s">
        <v>21</v>
      </c>
      <c r="C132" s="8" t="s">
        <v>7</v>
      </c>
      <c r="D132" s="6" t="s">
        <v>22</v>
      </c>
      <c r="E132" s="4" t="n">
        <v>27</v>
      </c>
      <c r="F132" s="6" t="s">
        <v>19</v>
      </c>
      <c r="G132" s="4" t="n">
        <v>2</v>
      </c>
      <c r="H132" s="7" t="s">
        <v>159</v>
      </c>
      <c r="I132" s="4" t="n">
        <v>4</v>
      </c>
      <c r="J132" s="4"/>
      <c r="K132" s="4"/>
      <c r="L132" s="4" t="n">
        <v>20</v>
      </c>
    </row>
    <row r="133" customFormat="false" ht="48" hidden="false" customHeight="true" outlineLevel="0" collapsed="false">
      <c r="A133" s="3" t="n">
        <v>46339</v>
      </c>
      <c r="B133" s="4" t="s">
        <v>21</v>
      </c>
      <c r="C133" s="9" t="s">
        <v>11</v>
      </c>
      <c r="D133" s="6" t="s">
        <v>65</v>
      </c>
      <c r="E133" s="4" t="n">
        <v>99</v>
      </c>
      <c r="F133" s="6" t="s">
        <v>47</v>
      </c>
      <c r="G133" s="4" t="n">
        <v>5</v>
      </c>
      <c r="H133" s="7" t="s">
        <v>175</v>
      </c>
      <c r="I133" s="4"/>
      <c r="J133" s="4" t="n">
        <v>46</v>
      </c>
      <c r="K133" s="4"/>
      <c r="L133" s="4" t="n">
        <v>134</v>
      </c>
    </row>
    <row r="134" customFormat="false" ht="48" hidden="false" customHeight="true" outlineLevel="0" collapsed="false">
      <c r="A134" s="3" t="n">
        <v>46340</v>
      </c>
      <c r="B134" s="4" t="s">
        <v>26</v>
      </c>
      <c r="C134" s="10" t="s">
        <v>27</v>
      </c>
      <c r="D134" s="6" t="s">
        <v>103</v>
      </c>
      <c r="E134" s="4" t="n">
        <v>91</v>
      </c>
      <c r="F134" s="6" t="s">
        <v>4</v>
      </c>
      <c r="G134" s="4" t="n">
        <v>4</v>
      </c>
      <c r="H134" s="7" t="s">
        <v>176</v>
      </c>
      <c r="I134" s="4"/>
      <c r="J134" s="4"/>
      <c r="K134" s="4" t="n">
        <v>3150</v>
      </c>
      <c r="L134" s="4"/>
    </row>
    <row r="135" customFormat="false" ht="24" hidden="false" customHeight="true" outlineLevel="0" collapsed="false">
      <c r="A135" s="3" t="n">
        <v>46340</v>
      </c>
      <c r="B135" s="4" t="s">
        <v>26</v>
      </c>
      <c r="C135" s="8" t="s">
        <v>7</v>
      </c>
      <c r="D135" s="6" t="s">
        <v>177</v>
      </c>
      <c r="E135" s="4" t="n">
        <v>86</v>
      </c>
      <c r="F135" s="6" t="s">
        <v>9</v>
      </c>
      <c r="G135" s="4" t="n">
        <v>6</v>
      </c>
      <c r="H135" s="7" t="s">
        <v>178</v>
      </c>
      <c r="I135" s="4" t="n">
        <v>14</v>
      </c>
      <c r="J135" s="4"/>
      <c r="K135" s="4"/>
      <c r="L135" s="4" t="n">
        <v>69</v>
      </c>
    </row>
    <row r="136" customFormat="false" ht="36" hidden="false" customHeight="true" outlineLevel="0" collapsed="false">
      <c r="A136" s="3" t="n">
        <v>46341</v>
      </c>
      <c r="B136" s="4" t="s">
        <v>32</v>
      </c>
      <c r="C136" s="9" t="s">
        <v>11</v>
      </c>
      <c r="D136" s="6" t="s">
        <v>179</v>
      </c>
      <c r="E136" s="4" t="n">
        <v>251</v>
      </c>
      <c r="F136" s="6" t="s">
        <v>47</v>
      </c>
      <c r="G136" s="4" t="n">
        <v>6</v>
      </c>
      <c r="H136" s="7" t="s">
        <v>180</v>
      </c>
      <c r="I136" s="4"/>
      <c r="J136" s="4" t="n">
        <v>117</v>
      </c>
      <c r="K136" s="4"/>
      <c r="L136" s="4" t="n">
        <v>376</v>
      </c>
    </row>
    <row r="137" customFormat="false" ht="36" hidden="false" customHeight="true" outlineLevel="0" collapsed="false">
      <c r="A137" s="3" t="n">
        <v>46341</v>
      </c>
      <c r="B137" s="4" t="s">
        <v>32</v>
      </c>
      <c r="C137" s="10" t="s">
        <v>27</v>
      </c>
      <c r="D137" s="6" t="s">
        <v>33</v>
      </c>
      <c r="E137" s="4" t="n">
        <v>59</v>
      </c>
      <c r="F137" s="6" t="s">
        <v>4</v>
      </c>
      <c r="G137" s="4" t="n">
        <v>4</v>
      </c>
      <c r="H137" s="7" t="s">
        <v>181</v>
      </c>
      <c r="I137" s="4"/>
      <c r="J137" s="4"/>
      <c r="K137" s="4" t="n">
        <v>2200</v>
      </c>
      <c r="L137" s="4"/>
    </row>
    <row r="138" customFormat="false" ht="15" hidden="false" customHeight="true" outlineLevel="0" collapsed="false">
      <c r="A138" s="11"/>
      <c r="B138" s="11"/>
      <c r="C138" s="11"/>
      <c r="D138" s="11"/>
      <c r="E138" s="11"/>
      <c r="F138" s="11"/>
      <c r="G138" s="11"/>
      <c r="H138" s="12" t="s">
        <v>35</v>
      </c>
      <c r="I138" s="11" t="n">
        <f aca="false">SUM(I126:I137)</f>
        <v>31</v>
      </c>
      <c r="J138" s="11" t="n">
        <f aca="false">SUM(J126:J137)</f>
        <v>240</v>
      </c>
      <c r="K138" s="11" t="n">
        <f aca="false">SUM(K126:K137)</f>
        <v>7300</v>
      </c>
      <c r="L138" s="11"/>
    </row>
    <row r="139" customFormat="false" ht="15" hidden="false" customHeight="true" outlineLevel="0" collapsed="false">
      <c r="A139" s="16" t="s">
        <v>182</v>
      </c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</row>
    <row r="140" customFormat="false" ht="15" hidden="false" customHeight="true" outlineLevel="0" collapsed="false">
      <c r="A140" s="3" t="n">
        <v>46342</v>
      </c>
      <c r="B140" s="4" t="s">
        <v>1</v>
      </c>
      <c r="C140" s="5" t="s">
        <v>2</v>
      </c>
      <c r="D140" s="6" t="s">
        <v>3</v>
      </c>
      <c r="E140" s="4" t="s">
        <v>4</v>
      </c>
      <c r="F140" s="6" t="s">
        <v>4</v>
      </c>
      <c r="G140" s="4" t="n">
        <v>1</v>
      </c>
      <c r="H140" s="7" t="s">
        <v>56</v>
      </c>
      <c r="I140" s="4"/>
      <c r="J140" s="4"/>
      <c r="K140" s="4"/>
      <c r="L140" s="4"/>
    </row>
    <row r="141" customFormat="false" ht="84" hidden="false" customHeight="true" outlineLevel="0" collapsed="false">
      <c r="A141" s="3" t="n">
        <v>46343</v>
      </c>
      <c r="B141" s="4" t="s">
        <v>6</v>
      </c>
      <c r="C141" s="8" t="s">
        <v>7</v>
      </c>
      <c r="D141" s="6" t="s">
        <v>183</v>
      </c>
      <c r="E141" s="4" t="n">
        <v>44</v>
      </c>
      <c r="F141" s="6" t="s">
        <v>39</v>
      </c>
      <c r="G141" s="4" t="n">
        <v>6</v>
      </c>
      <c r="H141" s="7" t="s">
        <v>184</v>
      </c>
      <c r="I141" s="4" t="n">
        <v>8</v>
      </c>
      <c r="J141" s="4"/>
      <c r="K141" s="4"/>
      <c r="L141" s="4" t="n">
        <v>75</v>
      </c>
    </row>
    <row r="142" customFormat="false" ht="24" hidden="false" customHeight="true" outlineLevel="0" collapsed="false">
      <c r="A142" s="3" t="n">
        <v>46343</v>
      </c>
      <c r="B142" s="4" t="s">
        <v>6</v>
      </c>
      <c r="C142" s="9" t="s">
        <v>11</v>
      </c>
      <c r="D142" s="6" t="s">
        <v>59</v>
      </c>
      <c r="E142" s="4" t="n">
        <v>47</v>
      </c>
      <c r="F142" s="6" t="s">
        <v>9</v>
      </c>
      <c r="G142" s="4" t="n">
        <v>2</v>
      </c>
      <c r="H142" s="7" t="s">
        <v>185</v>
      </c>
      <c r="I142" s="4"/>
      <c r="J142" s="4" t="n">
        <v>22</v>
      </c>
      <c r="K142" s="4"/>
      <c r="L142" s="4" t="n">
        <v>28</v>
      </c>
    </row>
    <row r="143" customFormat="false" ht="60" hidden="false" customHeight="true" outlineLevel="0" collapsed="false">
      <c r="A143" s="3" t="n">
        <v>46344</v>
      </c>
      <c r="B143" s="4" t="s">
        <v>14</v>
      </c>
      <c r="C143" s="9" t="s">
        <v>11</v>
      </c>
      <c r="D143" s="6" t="s">
        <v>186</v>
      </c>
      <c r="E143" s="4" t="n">
        <v>126</v>
      </c>
      <c r="F143" s="6" t="s">
        <v>39</v>
      </c>
      <c r="G143" s="4" t="n">
        <v>7</v>
      </c>
      <c r="H143" s="7" t="s">
        <v>187</v>
      </c>
      <c r="I143" s="4"/>
      <c r="J143" s="4" t="n">
        <v>59</v>
      </c>
      <c r="K143" s="4"/>
      <c r="L143" s="4" t="n">
        <v>224</v>
      </c>
    </row>
    <row r="144" customFormat="false" ht="36" hidden="false" customHeight="true" outlineLevel="0" collapsed="false">
      <c r="A144" s="3" t="n">
        <v>46345</v>
      </c>
      <c r="B144" s="4" t="s">
        <v>17</v>
      </c>
      <c r="C144" s="10" t="s">
        <v>27</v>
      </c>
      <c r="D144" s="6" t="s">
        <v>33</v>
      </c>
      <c r="E144" s="4" t="n">
        <v>56</v>
      </c>
      <c r="F144" s="6" t="s">
        <v>4</v>
      </c>
      <c r="G144" s="4" t="n">
        <v>4</v>
      </c>
      <c r="H144" s="7" t="s">
        <v>188</v>
      </c>
      <c r="I144" s="4"/>
      <c r="J144" s="4"/>
      <c r="K144" s="4" t="n">
        <v>2050</v>
      </c>
      <c r="L144" s="4"/>
    </row>
    <row r="145" customFormat="false" ht="36" hidden="false" customHeight="true" outlineLevel="0" collapsed="false">
      <c r="A145" s="3" t="n">
        <v>46345</v>
      </c>
      <c r="B145" s="4" t="s">
        <v>17</v>
      </c>
      <c r="C145" s="8" t="s">
        <v>7</v>
      </c>
      <c r="D145" s="6" t="s">
        <v>75</v>
      </c>
      <c r="E145" s="4" t="n">
        <v>43</v>
      </c>
      <c r="F145" s="6" t="s">
        <v>19</v>
      </c>
      <c r="G145" s="4" t="n">
        <v>2</v>
      </c>
      <c r="H145" s="7" t="s">
        <v>130</v>
      </c>
      <c r="I145" s="4" t="n">
        <v>7</v>
      </c>
      <c r="J145" s="4"/>
      <c r="K145" s="4"/>
      <c r="L145" s="4" t="n">
        <v>50</v>
      </c>
    </row>
    <row r="146" customFormat="false" ht="24" hidden="false" customHeight="true" outlineLevel="0" collapsed="false">
      <c r="A146" s="3" t="n">
        <v>46346</v>
      </c>
      <c r="B146" s="4" t="s">
        <v>21</v>
      </c>
      <c r="C146" s="8" t="s">
        <v>7</v>
      </c>
      <c r="D146" s="6" t="s">
        <v>22</v>
      </c>
      <c r="E146" s="4" t="n">
        <v>27</v>
      </c>
      <c r="F146" s="6" t="s">
        <v>19</v>
      </c>
      <c r="G146" s="4" t="n">
        <v>2</v>
      </c>
      <c r="H146" s="7" t="s">
        <v>159</v>
      </c>
      <c r="I146" s="4" t="n">
        <v>4</v>
      </c>
      <c r="J146" s="4"/>
      <c r="K146" s="4"/>
      <c r="L146" s="4" t="n">
        <v>20</v>
      </c>
    </row>
    <row r="147" customFormat="false" ht="48" hidden="false" customHeight="true" outlineLevel="0" collapsed="false">
      <c r="A147" s="3" t="n">
        <v>46346</v>
      </c>
      <c r="B147" s="4" t="s">
        <v>21</v>
      </c>
      <c r="C147" s="9" t="s">
        <v>11</v>
      </c>
      <c r="D147" s="6" t="s">
        <v>65</v>
      </c>
      <c r="E147" s="4" t="n">
        <v>105</v>
      </c>
      <c r="F147" s="6" t="s">
        <v>47</v>
      </c>
      <c r="G147" s="4" t="n">
        <v>5</v>
      </c>
      <c r="H147" s="7" t="s">
        <v>189</v>
      </c>
      <c r="I147" s="4"/>
      <c r="J147" s="4" t="n">
        <v>49</v>
      </c>
      <c r="K147" s="4"/>
      <c r="L147" s="4" t="n">
        <v>142</v>
      </c>
    </row>
    <row r="148" customFormat="false" ht="48" hidden="false" customHeight="true" outlineLevel="0" collapsed="false">
      <c r="A148" s="3" t="n">
        <v>46347</v>
      </c>
      <c r="B148" s="4" t="s">
        <v>26</v>
      </c>
      <c r="C148" s="10" t="s">
        <v>27</v>
      </c>
      <c r="D148" s="6" t="s">
        <v>103</v>
      </c>
      <c r="E148" s="4" t="n">
        <v>93</v>
      </c>
      <c r="F148" s="6" t="s">
        <v>4</v>
      </c>
      <c r="G148" s="4" t="n">
        <v>4</v>
      </c>
      <c r="H148" s="7" t="s">
        <v>190</v>
      </c>
      <c r="I148" s="4"/>
      <c r="J148" s="4"/>
      <c r="K148" s="4" t="n">
        <v>3250</v>
      </c>
      <c r="L148" s="4"/>
    </row>
    <row r="149" customFormat="false" ht="36" hidden="false" customHeight="true" outlineLevel="0" collapsed="false">
      <c r="A149" s="3" t="n">
        <v>46347</v>
      </c>
      <c r="B149" s="4" t="s">
        <v>26</v>
      </c>
      <c r="C149" s="8" t="s">
        <v>7</v>
      </c>
      <c r="D149" s="6" t="s">
        <v>191</v>
      </c>
      <c r="E149" s="4" t="n">
        <v>92</v>
      </c>
      <c r="F149" s="6" t="s">
        <v>9</v>
      </c>
      <c r="G149" s="4" t="n">
        <v>6</v>
      </c>
      <c r="H149" s="7" t="s">
        <v>192</v>
      </c>
      <c r="I149" s="4" t="n">
        <v>15</v>
      </c>
      <c r="J149" s="4"/>
      <c r="K149" s="4"/>
      <c r="L149" s="4" t="n">
        <v>74</v>
      </c>
    </row>
    <row r="150" customFormat="false" ht="36" hidden="false" customHeight="true" outlineLevel="0" collapsed="false">
      <c r="A150" s="3" t="n">
        <v>46348</v>
      </c>
      <c r="B150" s="4" t="s">
        <v>32</v>
      </c>
      <c r="C150" s="9" t="s">
        <v>11</v>
      </c>
      <c r="D150" s="6" t="s">
        <v>193</v>
      </c>
      <c r="E150" s="4" t="n">
        <v>261</v>
      </c>
      <c r="F150" s="6" t="s">
        <v>47</v>
      </c>
      <c r="G150" s="4" t="n">
        <v>6</v>
      </c>
      <c r="H150" s="7" t="s">
        <v>194</v>
      </c>
      <c r="I150" s="4"/>
      <c r="J150" s="4" t="n">
        <v>122</v>
      </c>
      <c r="K150" s="4"/>
      <c r="L150" s="4" t="n">
        <v>392</v>
      </c>
    </row>
    <row r="151" customFormat="false" ht="36" hidden="false" customHeight="true" outlineLevel="0" collapsed="false">
      <c r="A151" s="3" t="n">
        <v>46348</v>
      </c>
      <c r="B151" s="4" t="s">
        <v>32</v>
      </c>
      <c r="C151" s="10" t="s">
        <v>27</v>
      </c>
      <c r="D151" s="6" t="s">
        <v>33</v>
      </c>
      <c r="E151" s="4" t="n">
        <v>61</v>
      </c>
      <c r="F151" s="6" t="s">
        <v>4</v>
      </c>
      <c r="G151" s="4" t="n">
        <v>4</v>
      </c>
      <c r="H151" s="7" t="s">
        <v>195</v>
      </c>
      <c r="I151" s="4"/>
      <c r="J151" s="4"/>
      <c r="K151" s="4" t="n">
        <v>2300</v>
      </c>
      <c r="L151" s="4"/>
    </row>
    <row r="152" customFormat="false" ht="15" hidden="false" customHeight="true" outlineLevel="0" collapsed="false">
      <c r="A152" s="11"/>
      <c r="B152" s="11"/>
      <c r="C152" s="11"/>
      <c r="D152" s="11"/>
      <c r="E152" s="11"/>
      <c r="F152" s="11"/>
      <c r="G152" s="11"/>
      <c r="H152" s="12" t="s">
        <v>35</v>
      </c>
      <c r="I152" s="11" t="n">
        <f aca="false">SUM(I140:I151)</f>
        <v>34</v>
      </c>
      <c r="J152" s="11" t="n">
        <f aca="false">SUM(J140:J151)</f>
        <v>252</v>
      </c>
      <c r="K152" s="11" t="n">
        <f aca="false">SUM(K140:K151)</f>
        <v>7600</v>
      </c>
      <c r="L152" s="11"/>
    </row>
    <row r="153" customFormat="false" ht="15" hidden="false" customHeight="true" outlineLevel="0" collapsed="false">
      <c r="A153" s="14" t="s">
        <v>196</v>
      </c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</row>
    <row r="154" customFormat="false" ht="15" hidden="false" customHeight="true" outlineLevel="0" collapsed="false">
      <c r="A154" s="3" t="n">
        <v>46349</v>
      </c>
      <c r="B154" s="4" t="s">
        <v>1</v>
      </c>
      <c r="C154" s="5" t="s">
        <v>2</v>
      </c>
      <c r="D154" s="6" t="s">
        <v>3</v>
      </c>
      <c r="E154" s="4" t="s">
        <v>4</v>
      </c>
      <c r="F154" s="6" t="s">
        <v>4</v>
      </c>
      <c r="G154" s="4" t="n">
        <v>1</v>
      </c>
      <c r="H154" s="7" t="s">
        <v>56</v>
      </c>
      <c r="I154" s="4"/>
      <c r="J154" s="4"/>
      <c r="K154" s="4"/>
      <c r="L154" s="4"/>
    </row>
    <row r="155" customFormat="false" ht="108" hidden="false" customHeight="true" outlineLevel="0" collapsed="false">
      <c r="A155" s="3" t="n">
        <v>46350</v>
      </c>
      <c r="B155" s="4" t="s">
        <v>6</v>
      </c>
      <c r="C155" s="8" t="s">
        <v>7</v>
      </c>
      <c r="D155" s="6" t="s">
        <v>197</v>
      </c>
      <c r="E155" s="4" t="n">
        <v>30</v>
      </c>
      <c r="F155" s="6" t="s">
        <v>39</v>
      </c>
      <c r="G155" s="4" t="n">
        <v>6</v>
      </c>
      <c r="H155" s="7" t="s">
        <v>198</v>
      </c>
      <c r="I155" s="4" t="n">
        <v>5</v>
      </c>
      <c r="J155" s="4"/>
      <c r="K155" s="4"/>
      <c r="L155" s="4" t="n">
        <v>48</v>
      </c>
    </row>
    <row r="156" customFormat="false" ht="24" hidden="false" customHeight="true" outlineLevel="0" collapsed="false">
      <c r="A156" s="3" t="n">
        <v>46350</v>
      </c>
      <c r="B156" s="4" t="s">
        <v>6</v>
      </c>
      <c r="C156" s="9" t="s">
        <v>11</v>
      </c>
      <c r="D156" s="6" t="s">
        <v>59</v>
      </c>
      <c r="E156" s="4" t="n">
        <v>32</v>
      </c>
      <c r="F156" s="6" t="s">
        <v>9</v>
      </c>
      <c r="G156" s="4" t="n">
        <v>2</v>
      </c>
      <c r="H156" s="7" t="s">
        <v>140</v>
      </c>
      <c r="I156" s="4"/>
      <c r="J156" s="4" t="n">
        <v>15</v>
      </c>
      <c r="K156" s="4"/>
      <c r="L156" s="4" t="n">
        <v>19</v>
      </c>
    </row>
    <row r="157" customFormat="false" ht="60" hidden="false" customHeight="true" outlineLevel="0" collapsed="false">
      <c r="A157" s="3" t="n">
        <v>46351</v>
      </c>
      <c r="B157" s="4" t="s">
        <v>14</v>
      </c>
      <c r="C157" s="9" t="s">
        <v>11</v>
      </c>
      <c r="D157" s="6" t="s">
        <v>199</v>
      </c>
      <c r="E157" s="4" t="n">
        <v>81</v>
      </c>
      <c r="F157" s="6" t="s">
        <v>43</v>
      </c>
      <c r="G157" s="4" t="n">
        <v>5</v>
      </c>
      <c r="H157" s="7" t="s">
        <v>200</v>
      </c>
      <c r="I157" s="4"/>
      <c r="J157" s="4" t="n">
        <v>38</v>
      </c>
      <c r="K157" s="4"/>
      <c r="L157" s="4" t="n">
        <v>156</v>
      </c>
    </row>
    <row r="158" customFormat="false" ht="36" hidden="false" customHeight="true" outlineLevel="0" collapsed="false">
      <c r="A158" s="3" t="n">
        <v>46352</v>
      </c>
      <c r="B158" s="4" t="s">
        <v>17</v>
      </c>
      <c r="C158" s="10" t="s">
        <v>27</v>
      </c>
      <c r="D158" s="6" t="s">
        <v>33</v>
      </c>
      <c r="E158" s="4" t="n">
        <v>40</v>
      </c>
      <c r="F158" s="6" t="s">
        <v>4</v>
      </c>
      <c r="G158" s="4" t="n">
        <v>4</v>
      </c>
      <c r="H158" s="7" t="s">
        <v>201</v>
      </c>
      <c r="I158" s="4"/>
      <c r="J158" s="4"/>
      <c r="K158" s="4" t="n">
        <v>1350</v>
      </c>
      <c r="L158" s="4"/>
    </row>
    <row r="159" customFormat="false" ht="24" hidden="false" customHeight="true" outlineLevel="0" collapsed="false">
      <c r="A159" s="3" t="n">
        <v>46352</v>
      </c>
      <c r="B159" s="4" t="s">
        <v>17</v>
      </c>
      <c r="C159" s="8" t="s">
        <v>7</v>
      </c>
      <c r="D159" s="6" t="s">
        <v>18</v>
      </c>
      <c r="E159" s="4" t="n">
        <v>31</v>
      </c>
      <c r="F159" s="6" t="s">
        <v>19</v>
      </c>
      <c r="G159" s="4" t="n">
        <v>2</v>
      </c>
      <c r="H159" s="7" t="s">
        <v>144</v>
      </c>
      <c r="I159" s="4" t="n">
        <v>5</v>
      </c>
      <c r="J159" s="4"/>
      <c r="K159" s="4"/>
      <c r="L159" s="4" t="n">
        <v>26</v>
      </c>
    </row>
    <row r="160" customFormat="false" ht="24" hidden="false" customHeight="true" outlineLevel="0" collapsed="false">
      <c r="A160" s="3" t="n">
        <v>46353</v>
      </c>
      <c r="B160" s="4" t="s">
        <v>21</v>
      </c>
      <c r="C160" s="8" t="s">
        <v>7</v>
      </c>
      <c r="D160" s="6" t="s">
        <v>22</v>
      </c>
      <c r="E160" s="4" t="n">
        <v>20</v>
      </c>
      <c r="F160" s="6" t="s">
        <v>19</v>
      </c>
      <c r="G160" s="4" t="n">
        <v>2</v>
      </c>
      <c r="H160" s="7" t="s">
        <v>202</v>
      </c>
      <c r="I160" s="4" t="n">
        <v>3</v>
      </c>
      <c r="J160" s="4"/>
      <c r="K160" s="4"/>
      <c r="L160" s="4" t="n">
        <v>20</v>
      </c>
    </row>
    <row r="161" customFormat="false" ht="48" hidden="false" customHeight="true" outlineLevel="0" collapsed="false">
      <c r="A161" s="3" t="n">
        <v>46353</v>
      </c>
      <c r="B161" s="4" t="s">
        <v>21</v>
      </c>
      <c r="C161" s="9" t="s">
        <v>11</v>
      </c>
      <c r="D161" s="6" t="s">
        <v>46</v>
      </c>
      <c r="E161" s="4" t="n">
        <v>69</v>
      </c>
      <c r="F161" s="6" t="s">
        <v>47</v>
      </c>
      <c r="G161" s="4" t="n">
        <v>3</v>
      </c>
      <c r="H161" s="7" t="s">
        <v>203</v>
      </c>
      <c r="I161" s="4"/>
      <c r="J161" s="4" t="n">
        <v>32</v>
      </c>
      <c r="K161" s="4"/>
      <c r="L161" s="4" t="n">
        <v>93</v>
      </c>
    </row>
    <row r="162" customFormat="false" ht="48" hidden="false" customHeight="true" outlineLevel="0" collapsed="false">
      <c r="A162" s="3" t="n">
        <v>46354</v>
      </c>
      <c r="B162" s="4" t="s">
        <v>26</v>
      </c>
      <c r="C162" s="10" t="s">
        <v>27</v>
      </c>
      <c r="D162" s="6" t="s">
        <v>103</v>
      </c>
      <c r="E162" s="4" t="n">
        <v>68</v>
      </c>
      <c r="F162" s="6" t="s">
        <v>4</v>
      </c>
      <c r="G162" s="4" t="n">
        <v>4</v>
      </c>
      <c r="H162" s="7" t="s">
        <v>204</v>
      </c>
      <c r="I162" s="4"/>
      <c r="J162" s="4"/>
      <c r="K162" s="4" t="n">
        <v>2150</v>
      </c>
      <c r="L162" s="4"/>
    </row>
    <row r="163" customFormat="false" ht="24" hidden="false" customHeight="true" outlineLevel="0" collapsed="false">
      <c r="A163" s="3" t="n">
        <v>46354</v>
      </c>
      <c r="B163" s="4" t="s">
        <v>26</v>
      </c>
      <c r="C163" s="8" t="s">
        <v>7</v>
      </c>
      <c r="D163" s="6" t="s">
        <v>105</v>
      </c>
      <c r="E163" s="4" t="n">
        <v>62</v>
      </c>
      <c r="F163" s="6" t="s">
        <v>9</v>
      </c>
      <c r="G163" s="4" t="n">
        <v>5</v>
      </c>
      <c r="H163" s="7" t="s">
        <v>205</v>
      </c>
      <c r="I163" s="4" t="n">
        <v>10</v>
      </c>
      <c r="J163" s="4"/>
      <c r="K163" s="4"/>
      <c r="L163" s="4" t="n">
        <v>50</v>
      </c>
    </row>
    <row r="164" customFormat="false" ht="48" hidden="false" customHeight="true" outlineLevel="0" collapsed="false">
      <c r="A164" s="3" t="n">
        <v>46355</v>
      </c>
      <c r="B164" s="4" t="s">
        <v>32</v>
      </c>
      <c r="C164" s="9" t="s">
        <v>11</v>
      </c>
      <c r="D164" s="6" t="s">
        <v>206</v>
      </c>
      <c r="E164" s="4" t="n">
        <v>171</v>
      </c>
      <c r="F164" s="6" t="s">
        <v>47</v>
      </c>
      <c r="G164" s="4" t="n">
        <v>4</v>
      </c>
      <c r="H164" s="7" t="s">
        <v>207</v>
      </c>
      <c r="I164" s="4"/>
      <c r="J164" s="4" t="n">
        <v>80</v>
      </c>
      <c r="K164" s="4"/>
      <c r="L164" s="4" t="n">
        <v>256</v>
      </c>
    </row>
    <row r="165" customFormat="false" ht="36" hidden="false" customHeight="true" outlineLevel="0" collapsed="false">
      <c r="A165" s="3" t="n">
        <v>46355</v>
      </c>
      <c r="B165" s="4" t="s">
        <v>32</v>
      </c>
      <c r="C165" s="10" t="s">
        <v>27</v>
      </c>
      <c r="D165" s="6" t="s">
        <v>33</v>
      </c>
      <c r="E165" s="4" t="n">
        <v>43</v>
      </c>
      <c r="F165" s="6" t="s">
        <v>4</v>
      </c>
      <c r="G165" s="4" t="n">
        <v>4</v>
      </c>
      <c r="H165" s="7" t="s">
        <v>208</v>
      </c>
      <c r="I165" s="4"/>
      <c r="J165" s="4"/>
      <c r="K165" s="4" t="n">
        <v>1500</v>
      </c>
      <c r="L165" s="4"/>
    </row>
    <row r="166" customFormat="false" ht="15" hidden="false" customHeight="true" outlineLevel="0" collapsed="false">
      <c r="A166" s="11"/>
      <c r="B166" s="11"/>
      <c r="C166" s="11"/>
      <c r="D166" s="11"/>
      <c r="E166" s="11"/>
      <c r="F166" s="11"/>
      <c r="G166" s="11"/>
      <c r="H166" s="12" t="s">
        <v>35</v>
      </c>
      <c r="I166" s="11" t="n">
        <f aca="false">SUM(I154:I165)</f>
        <v>23</v>
      </c>
      <c r="J166" s="11" t="n">
        <f aca="false">SUM(J154:J165)</f>
        <v>165</v>
      </c>
      <c r="K166" s="11" t="n">
        <f aca="false">SUM(K154:K165)</f>
        <v>5000</v>
      </c>
      <c r="L166" s="11"/>
    </row>
    <row r="167" customFormat="false" ht="15" hidden="false" customHeight="true" outlineLevel="0" collapsed="false">
      <c r="A167" s="16" t="s">
        <v>209</v>
      </c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</row>
    <row r="168" customFormat="false" ht="15" hidden="false" customHeight="true" outlineLevel="0" collapsed="false">
      <c r="A168" s="3" t="n">
        <v>46356</v>
      </c>
      <c r="B168" s="4" t="s">
        <v>1</v>
      </c>
      <c r="C168" s="5" t="s">
        <v>2</v>
      </c>
      <c r="D168" s="6" t="s">
        <v>3</v>
      </c>
      <c r="E168" s="4" t="s">
        <v>4</v>
      </c>
      <c r="F168" s="6" t="s">
        <v>4</v>
      </c>
      <c r="G168" s="4" t="n">
        <v>1</v>
      </c>
      <c r="H168" s="7" t="s">
        <v>56</v>
      </c>
      <c r="I168" s="4"/>
      <c r="J168" s="4"/>
      <c r="K168" s="4"/>
      <c r="L168" s="4"/>
    </row>
    <row r="169" customFormat="false" ht="96" hidden="false" customHeight="true" outlineLevel="0" collapsed="false">
      <c r="A169" s="3" t="n">
        <v>46357</v>
      </c>
      <c r="B169" s="4" t="s">
        <v>6</v>
      </c>
      <c r="C169" s="8" t="s">
        <v>7</v>
      </c>
      <c r="D169" s="6" t="s">
        <v>210</v>
      </c>
      <c r="E169" s="4" t="n">
        <v>52</v>
      </c>
      <c r="F169" s="6" t="s">
        <v>39</v>
      </c>
      <c r="G169" s="4" t="n">
        <v>7</v>
      </c>
      <c r="H169" s="7" t="s">
        <v>211</v>
      </c>
      <c r="I169" s="4" t="n">
        <v>8.5</v>
      </c>
      <c r="J169" s="4"/>
      <c r="K169" s="4"/>
      <c r="L169" s="4" t="n">
        <v>72</v>
      </c>
    </row>
    <row r="170" customFormat="false" ht="24" hidden="false" customHeight="true" outlineLevel="0" collapsed="false">
      <c r="A170" s="3" t="n">
        <v>46357</v>
      </c>
      <c r="B170" s="4" t="s">
        <v>6</v>
      </c>
      <c r="C170" s="9" t="s">
        <v>11</v>
      </c>
      <c r="D170" s="6" t="s">
        <v>59</v>
      </c>
      <c r="E170" s="4" t="n">
        <v>47</v>
      </c>
      <c r="F170" s="6" t="s">
        <v>9</v>
      </c>
      <c r="G170" s="4" t="n">
        <v>2</v>
      </c>
      <c r="H170" s="7" t="s">
        <v>185</v>
      </c>
      <c r="I170" s="4"/>
      <c r="J170" s="4" t="n">
        <v>22</v>
      </c>
      <c r="K170" s="4"/>
      <c r="L170" s="4" t="n">
        <v>28</v>
      </c>
    </row>
    <row r="171" customFormat="false" ht="60" hidden="false" customHeight="true" outlineLevel="0" collapsed="false">
      <c r="A171" s="3" t="n">
        <v>46358</v>
      </c>
      <c r="B171" s="4" t="s">
        <v>14</v>
      </c>
      <c r="C171" s="9" t="s">
        <v>11</v>
      </c>
      <c r="D171" s="6" t="s">
        <v>212</v>
      </c>
      <c r="E171" s="4" t="n">
        <v>126</v>
      </c>
      <c r="F171" s="6" t="s">
        <v>43</v>
      </c>
      <c r="G171" s="4" t="n">
        <v>6</v>
      </c>
      <c r="H171" s="7" t="s">
        <v>213</v>
      </c>
      <c r="I171" s="4"/>
      <c r="J171" s="4" t="n">
        <v>59</v>
      </c>
      <c r="K171" s="4"/>
      <c r="L171" s="4" t="n">
        <v>228</v>
      </c>
    </row>
    <row r="172" customFormat="false" ht="36" hidden="false" customHeight="true" outlineLevel="0" collapsed="false">
      <c r="A172" s="3" t="n">
        <v>46359</v>
      </c>
      <c r="B172" s="4" t="s">
        <v>17</v>
      </c>
      <c r="C172" s="10" t="s">
        <v>27</v>
      </c>
      <c r="D172" s="6" t="s">
        <v>33</v>
      </c>
      <c r="E172" s="4" t="n">
        <v>57</v>
      </c>
      <c r="F172" s="6" t="s">
        <v>4</v>
      </c>
      <c r="G172" s="4" t="n">
        <v>4</v>
      </c>
      <c r="H172" s="7" t="s">
        <v>214</v>
      </c>
      <c r="I172" s="4"/>
      <c r="J172" s="4"/>
      <c r="K172" s="4" t="n">
        <v>2100</v>
      </c>
      <c r="L172" s="4"/>
    </row>
    <row r="173" customFormat="false" ht="36" hidden="false" customHeight="true" outlineLevel="0" collapsed="false">
      <c r="A173" s="3" t="n">
        <v>46359</v>
      </c>
      <c r="B173" s="4" t="s">
        <v>17</v>
      </c>
      <c r="C173" s="8" t="s">
        <v>7</v>
      </c>
      <c r="D173" s="6" t="s">
        <v>75</v>
      </c>
      <c r="E173" s="4" t="n">
        <v>46</v>
      </c>
      <c r="F173" s="6" t="s">
        <v>19</v>
      </c>
      <c r="G173" s="4" t="n">
        <v>2</v>
      </c>
      <c r="H173" s="7" t="s">
        <v>215</v>
      </c>
      <c r="I173" s="4" t="n">
        <v>7.5</v>
      </c>
      <c r="J173" s="4"/>
      <c r="K173" s="4"/>
      <c r="L173" s="4" t="n">
        <v>50</v>
      </c>
    </row>
    <row r="174" customFormat="false" ht="24" hidden="false" customHeight="true" outlineLevel="0" collapsed="false">
      <c r="A174" s="3" t="n">
        <v>46360</v>
      </c>
      <c r="B174" s="4" t="s">
        <v>21</v>
      </c>
      <c r="C174" s="8" t="s">
        <v>7</v>
      </c>
      <c r="D174" s="6" t="s">
        <v>22</v>
      </c>
      <c r="E174" s="4" t="n">
        <v>27</v>
      </c>
      <c r="F174" s="6" t="s">
        <v>19</v>
      </c>
      <c r="G174" s="4" t="n">
        <v>2</v>
      </c>
      <c r="H174" s="7" t="s">
        <v>159</v>
      </c>
      <c r="I174" s="4" t="n">
        <v>4</v>
      </c>
      <c r="J174" s="4"/>
      <c r="K174" s="4"/>
      <c r="L174" s="4" t="n">
        <v>20</v>
      </c>
    </row>
    <row r="175" customFormat="false" ht="48" hidden="false" customHeight="true" outlineLevel="0" collapsed="false">
      <c r="A175" s="3" t="n">
        <v>46360</v>
      </c>
      <c r="B175" s="4" t="s">
        <v>21</v>
      </c>
      <c r="C175" s="9" t="s">
        <v>11</v>
      </c>
      <c r="D175" s="6" t="s">
        <v>65</v>
      </c>
      <c r="E175" s="4" t="n">
        <v>105</v>
      </c>
      <c r="F175" s="6" t="s">
        <v>47</v>
      </c>
      <c r="G175" s="4" t="n">
        <v>5</v>
      </c>
      <c r="H175" s="7" t="s">
        <v>189</v>
      </c>
      <c r="I175" s="4"/>
      <c r="J175" s="4" t="n">
        <v>49</v>
      </c>
      <c r="K175" s="4"/>
      <c r="L175" s="4" t="n">
        <v>142</v>
      </c>
    </row>
    <row r="176" customFormat="false" ht="48" hidden="false" customHeight="true" outlineLevel="0" collapsed="false">
      <c r="A176" s="3" t="n">
        <v>46361</v>
      </c>
      <c r="B176" s="4" t="s">
        <v>26</v>
      </c>
      <c r="C176" s="10" t="s">
        <v>27</v>
      </c>
      <c r="D176" s="6" t="s">
        <v>103</v>
      </c>
      <c r="E176" s="4" t="n">
        <v>96</v>
      </c>
      <c r="F176" s="6" t="s">
        <v>4</v>
      </c>
      <c r="G176" s="4" t="n">
        <v>5</v>
      </c>
      <c r="H176" s="7" t="s">
        <v>216</v>
      </c>
      <c r="I176" s="4"/>
      <c r="J176" s="4"/>
      <c r="K176" s="4" t="n">
        <v>3350</v>
      </c>
      <c r="L176" s="4"/>
    </row>
    <row r="177" customFormat="false" ht="36" hidden="false" customHeight="true" outlineLevel="0" collapsed="false">
      <c r="A177" s="3" t="n">
        <v>46361</v>
      </c>
      <c r="B177" s="4" t="s">
        <v>26</v>
      </c>
      <c r="C177" s="8" t="s">
        <v>7</v>
      </c>
      <c r="D177" s="6" t="s">
        <v>217</v>
      </c>
      <c r="E177" s="4" t="n">
        <v>99</v>
      </c>
      <c r="F177" s="6" t="s">
        <v>9</v>
      </c>
      <c r="G177" s="4" t="n">
        <v>6</v>
      </c>
      <c r="H177" s="7" t="s">
        <v>218</v>
      </c>
      <c r="I177" s="4" t="n">
        <v>16</v>
      </c>
      <c r="J177" s="4"/>
      <c r="K177" s="4"/>
      <c r="L177" s="4" t="n">
        <v>79</v>
      </c>
    </row>
    <row r="178" customFormat="false" ht="36" hidden="false" customHeight="true" outlineLevel="0" collapsed="false">
      <c r="A178" s="3" t="n">
        <v>46362</v>
      </c>
      <c r="B178" s="4" t="s">
        <v>32</v>
      </c>
      <c r="C178" s="9" t="s">
        <v>11</v>
      </c>
      <c r="D178" s="6" t="s">
        <v>219</v>
      </c>
      <c r="E178" s="4" t="n">
        <v>268</v>
      </c>
      <c r="F178" s="6" t="s">
        <v>47</v>
      </c>
      <c r="G178" s="4" t="n">
        <v>6</v>
      </c>
      <c r="H178" s="7" t="s">
        <v>220</v>
      </c>
      <c r="I178" s="4"/>
      <c r="J178" s="4" t="n">
        <v>125</v>
      </c>
      <c r="K178" s="4"/>
      <c r="L178" s="4" t="n">
        <v>402</v>
      </c>
    </row>
    <row r="179" customFormat="false" ht="36" hidden="false" customHeight="true" outlineLevel="0" collapsed="false">
      <c r="A179" s="3" t="n">
        <v>46362</v>
      </c>
      <c r="B179" s="4" t="s">
        <v>32</v>
      </c>
      <c r="C179" s="10" t="s">
        <v>27</v>
      </c>
      <c r="D179" s="6" t="s">
        <v>166</v>
      </c>
      <c r="E179" s="4" t="n">
        <v>63</v>
      </c>
      <c r="F179" s="6" t="s">
        <v>4</v>
      </c>
      <c r="G179" s="4" t="n">
        <v>6</v>
      </c>
      <c r="H179" s="7" t="s">
        <v>221</v>
      </c>
      <c r="I179" s="4"/>
      <c r="J179" s="4"/>
      <c r="K179" s="4" t="n">
        <v>2350</v>
      </c>
      <c r="L179" s="4"/>
    </row>
    <row r="180" customFormat="false" ht="15" hidden="false" customHeight="true" outlineLevel="0" collapsed="false">
      <c r="A180" s="11"/>
      <c r="B180" s="11"/>
      <c r="C180" s="11"/>
      <c r="D180" s="11"/>
      <c r="E180" s="11"/>
      <c r="F180" s="11"/>
      <c r="G180" s="11"/>
      <c r="H180" s="12" t="s">
        <v>35</v>
      </c>
      <c r="I180" s="11" t="n">
        <f aca="false">SUM(I168:I179)</f>
        <v>36</v>
      </c>
      <c r="J180" s="11" t="n">
        <f aca="false">SUM(J168:J179)</f>
        <v>255</v>
      </c>
      <c r="K180" s="11" t="n">
        <f aca="false">SUM(K168:K179)</f>
        <v>7800</v>
      </c>
      <c r="L180" s="11"/>
    </row>
    <row r="181" customFormat="false" ht="15" hidden="false" customHeight="true" outlineLevel="0" collapsed="false">
      <c r="A181" s="17" t="s">
        <v>222</v>
      </c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customFormat="false" ht="15" hidden="false" customHeight="true" outlineLevel="0" collapsed="false">
      <c r="A182" s="3" t="n">
        <v>46363</v>
      </c>
      <c r="B182" s="4" t="s">
        <v>1</v>
      </c>
      <c r="C182" s="5" t="s">
        <v>2</v>
      </c>
      <c r="D182" s="6" t="s">
        <v>3</v>
      </c>
      <c r="E182" s="4" t="s">
        <v>4</v>
      </c>
      <c r="F182" s="6" t="s">
        <v>4</v>
      </c>
      <c r="G182" s="4" t="n">
        <v>1</v>
      </c>
      <c r="H182" s="7" t="s">
        <v>56</v>
      </c>
      <c r="I182" s="4"/>
      <c r="J182" s="4"/>
      <c r="K182" s="4"/>
      <c r="L182" s="4"/>
    </row>
    <row r="183" customFormat="false" ht="168" hidden="false" customHeight="true" outlineLevel="0" collapsed="false">
      <c r="A183" s="3" t="n">
        <v>46364</v>
      </c>
      <c r="B183" s="4" t="s">
        <v>6</v>
      </c>
      <c r="C183" s="8" t="s">
        <v>7</v>
      </c>
      <c r="D183" s="6" t="s">
        <v>223</v>
      </c>
      <c r="E183" s="4" t="n">
        <v>54</v>
      </c>
      <c r="F183" s="6" t="s">
        <v>39</v>
      </c>
      <c r="G183" s="4" t="n">
        <v>7</v>
      </c>
      <c r="H183" s="7" t="s">
        <v>224</v>
      </c>
      <c r="I183" s="4" t="n">
        <v>9.5</v>
      </c>
      <c r="J183" s="4"/>
      <c r="K183" s="4"/>
      <c r="L183" s="4" t="n">
        <v>75</v>
      </c>
    </row>
    <row r="184" customFormat="false" ht="24" hidden="false" customHeight="true" outlineLevel="0" collapsed="false">
      <c r="A184" s="3" t="n">
        <v>46364</v>
      </c>
      <c r="B184" s="4" t="s">
        <v>6</v>
      </c>
      <c r="C184" s="9" t="s">
        <v>11</v>
      </c>
      <c r="D184" s="6" t="s">
        <v>59</v>
      </c>
      <c r="E184" s="4" t="n">
        <v>47</v>
      </c>
      <c r="F184" s="6" t="s">
        <v>9</v>
      </c>
      <c r="G184" s="4" t="n">
        <v>2</v>
      </c>
      <c r="H184" s="7" t="s">
        <v>185</v>
      </c>
      <c r="I184" s="4"/>
      <c r="J184" s="4" t="n">
        <v>22</v>
      </c>
      <c r="K184" s="4"/>
      <c r="L184" s="4" t="n">
        <v>28</v>
      </c>
    </row>
    <row r="185" customFormat="false" ht="60" hidden="false" customHeight="true" outlineLevel="0" collapsed="false">
      <c r="A185" s="3" t="n">
        <v>46365</v>
      </c>
      <c r="B185" s="4" t="s">
        <v>14</v>
      </c>
      <c r="C185" s="9" t="s">
        <v>11</v>
      </c>
      <c r="D185" s="6" t="s">
        <v>225</v>
      </c>
      <c r="E185" s="4" t="n">
        <v>137</v>
      </c>
      <c r="F185" s="6" t="s">
        <v>127</v>
      </c>
      <c r="G185" s="4" t="n">
        <v>8</v>
      </c>
      <c r="H185" s="7" t="s">
        <v>226</v>
      </c>
      <c r="I185" s="4"/>
      <c r="J185" s="4" t="n">
        <v>64</v>
      </c>
      <c r="K185" s="4"/>
      <c r="L185" s="4" t="n">
        <v>243</v>
      </c>
    </row>
    <row r="186" customFormat="false" ht="36" hidden="false" customHeight="true" outlineLevel="0" collapsed="false">
      <c r="A186" s="3" t="n">
        <v>46366</v>
      </c>
      <c r="B186" s="4" t="s">
        <v>17</v>
      </c>
      <c r="C186" s="10" t="s">
        <v>27</v>
      </c>
      <c r="D186" s="6" t="s">
        <v>33</v>
      </c>
      <c r="E186" s="4" t="n">
        <v>58</v>
      </c>
      <c r="F186" s="6" t="s">
        <v>4</v>
      </c>
      <c r="G186" s="4" t="n">
        <v>4</v>
      </c>
      <c r="H186" s="7" t="s">
        <v>227</v>
      </c>
      <c r="I186" s="4"/>
      <c r="J186" s="4"/>
      <c r="K186" s="4" t="n">
        <v>2150</v>
      </c>
      <c r="L186" s="4"/>
    </row>
    <row r="187" customFormat="false" ht="36" hidden="false" customHeight="true" outlineLevel="0" collapsed="false">
      <c r="A187" s="3" t="n">
        <v>46366</v>
      </c>
      <c r="B187" s="4" t="s">
        <v>17</v>
      </c>
      <c r="C187" s="8" t="s">
        <v>7</v>
      </c>
      <c r="D187" s="6" t="s">
        <v>75</v>
      </c>
      <c r="E187" s="4" t="n">
        <v>56</v>
      </c>
      <c r="F187" s="6" t="s">
        <v>19</v>
      </c>
      <c r="G187" s="4" t="n">
        <v>2</v>
      </c>
      <c r="H187" s="7" t="s">
        <v>228</v>
      </c>
      <c r="I187" s="4" t="n">
        <v>9</v>
      </c>
      <c r="J187" s="4"/>
      <c r="K187" s="4"/>
      <c r="L187" s="4" t="n">
        <v>50</v>
      </c>
    </row>
    <row r="188" customFormat="false" ht="24" hidden="false" customHeight="true" outlineLevel="0" collapsed="false">
      <c r="A188" s="3" t="n">
        <v>46367</v>
      </c>
      <c r="B188" s="4" t="s">
        <v>21</v>
      </c>
      <c r="C188" s="8" t="s">
        <v>7</v>
      </c>
      <c r="D188" s="6" t="s">
        <v>22</v>
      </c>
      <c r="E188" s="4" t="n">
        <v>27</v>
      </c>
      <c r="F188" s="6" t="s">
        <v>19</v>
      </c>
      <c r="G188" s="4" t="n">
        <v>2</v>
      </c>
      <c r="H188" s="7" t="s">
        <v>159</v>
      </c>
      <c r="I188" s="4" t="n">
        <v>4</v>
      </c>
      <c r="J188" s="4"/>
      <c r="K188" s="4"/>
      <c r="L188" s="4" t="n">
        <v>20</v>
      </c>
    </row>
    <row r="189" customFormat="false" ht="48" hidden="false" customHeight="true" outlineLevel="0" collapsed="false">
      <c r="A189" s="3" t="n">
        <v>46367</v>
      </c>
      <c r="B189" s="4" t="s">
        <v>21</v>
      </c>
      <c r="C189" s="9" t="s">
        <v>11</v>
      </c>
      <c r="D189" s="6" t="s">
        <v>65</v>
      </c>
      <c r="E189" s="4" t="n">
        <v>111</v>
      </c>
      <c r="F189" s="6" t="s">
        <v>47</v>
      </c>
      <c r="G189" s="4" t="n">
        <v>5</v>
      </c>
      <c r="H189" s="7" t="s">
        <v>229</v>
      </c>
      <c r="I189" s="4"/>
      <c r="J189" s="4" t="n">
        <v>52</v>
      </c>
      <c r="K189" s="4"/>
      <c r="L189" s="4" t="n">
        <v>150</v>
      </c>
    </row>
    <row r="190" customFormat="false" ht="48" hidden="false" customHeight="true" outlineLevel="0" collapsed="false">
      <c r="A190" s="3" t="n">
        <v>46368</v>
      </c>
      <c r="B190" s="4" t="s">
        <v>26</v>
      </c>
      <c r="C190" s="10" t="s">
        <v>27</v>
      </c>
      <c r="D190" s="6" t="s">
        <v>103</v>
      </c>
      <c r="E190" s="4" t="n">
        <v>98</v>
      </c>
      <c r="F190" s="6" t="s">
        <v>4</v>
      </c>
      <c r="G190" s="4" t="n">
        <v>5</v>
      </c>
      <c r="H190" s="7" t="s">
        <v>230</v>
      </c>
      <c r="I190" s="4"/>
      <c r="J190" s="4"/>
      <c r="K190" s="4" t="n">
        <v>3450</v>
      </c>
      <c r="L190" s="4"/>
    </row>
    <row r="191" customFormat="false" ht="36" hidden="false" customHeight="true" outlineLevel="0" collapsed="false">
      <c r="A191" s="3" t="n">
        <v>46368</v>
      </c>
      <c r="B191" s="4" t="s">
        <v>26</v>
      </c>
      <c r="C191" s="8" t="s">
        <v>7</v>
      </c>
      <c r="D191" s="6" t="s">
        <v>231</v>
      </c>
      <c r="E191" s="4" t="n">
        <v>105</v>
      </c>
      <c r="F191" s="6" t="s">
        <v>9</v>
      </c>
      <c r="G191" s="4" t="n">
        <v>6</v>
      </c>
      <c r="H191" s="7" t="s">
        <v>232</v>
      </c>
      <c r="I191" s="4" t="n">
        <v>17</v>
      </c>
      <c r="J191" s="4"/>
      <c r="K191" s="4"/>
      <c r="L191" s="4" t="n">
        <v>84</v>
      </c>
    </row>
    <row r="192" customFormat="false" ht="36" hidden="false" customHeight="true" outlineLevel="0" collapsed="false">
      <c r="A192" s="3" t="n">
        <v>46369</v>
      </c>
      <c r="B192" s="4" t="s">
        <v>32</v>
      </c>
      <c r="C192" s="9" t="s">
        <v>11</v>
      </c>
      <c r="D192" s="6" t="s">
        <v>233</v>
      </c>
      <c r="E192" s="4" t="n">
        <v>279</v>
      </c>
      <c r="F192" s="6" t="s">
        <v>47</v>
      </c>
      <c r="G192" s="4" t="n">
        <v>6</v>
      </c>
      <c r="H192" s="7" t="s">
        <v>234</v>
      </c>
      <c r="I192" s="4"/>
      <c r="J192" s="4" t="n">
        <v>130</v>
      </c>
      <c r="K192" s="4"/>
      <c r="L192" s="4" t="n">
        <v>418</v>
      </c>
    </row>
    <row r="193" customFormat="false" ht="36" hidden="false" customHeight="true" outlineLevel="0" collapsed="false">
      <c r="A193" s="3" t="n">
        <v>46369</v>
      </c>
      <c r="B193" s="4" t="s">
        <v>32</v>
      </c>
      <c r="C193" s="10" t="s">
        <v>27</v>
      </c>
      <c r="D193" s="6" t="s">
        <v>33</v>
      </c>
      <c r="E193" s="4" t="n">
        <v>63</v>
      </c>
      <c r="F193" s="6" t="s">
        <v>4</v>
      </c>
      <c r="G193" s="4" t="n">
        <v>4</v>
      </c>
      <c r="H193" s="7" t="s">
        <v>235</v>
      </c>
      <c r="I193" s="4"/>
      <c r="J193" s="4"/>
      <c r="K193" s="4" t="n">
        <v>2400</v>
      </c>
      <c r="L193" s="4"/>
    </row>
    <row r="194" customFormat="false" ht="15" hidden="false" customHeight="true" outlineLevel="0" collapsed="false">
      <c r="A194" s="11"/>
      <c r="B194" s="11"/>
      <c r="C194" s="11"/>
      <c r="D194" s="11"/>
      <c r="E194" s="11"/>
      <c r="F194" s="11"/>
      <c r="G194" s="11"/>
      <c r="H194" s="12" t="s">
        <v>35</v>
      </c>
      <c r="I194" s="11" t="n">
        <f aca="false">SUM(I182:I193)</f>
        <v>39.5</v>
      </c>
      <c r="J194" s="11" t="n">
        <f aca="false">SUM(J182:J193)</f>
        <v>268</v>
      </c>
      <c r="K194" s="11" t="n">
        <f aca="false">SUM(K182:K193)</f>
        <v>8000</v>
      </c>
      <c r="L194" s="11"/>
    </row>
    <row r="195" customFormat="false" ht="15" hidden="false" customHeight="true" outlineLevel="0" collapsed="false">
      <c r="A195" s="17" t="s">
        <v>236</v>
      </c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customFormat="false" ht="15" hidden="false" customHeight="true" outlineLevel="0" collapsed="false">
      <c r="A196" s="3" t="n">
        <v>46370</v>
      </c>
      <c r="B196" s="4" t="s">
        <v>1</v>
      </c>
      <c r="C196" s="5" t="s">
        <v>2</v>
      </c>
      <c r="D196" s="6" t="s">
        <v>3</v>
      </c>
      <c r="E196" s="4" t="s">
        <v>4</v>
      </c>
      <c r="F196" s="6" t="s">
        <v>4</v>
      </c>
      <c r="G196" s="4" t="n">
        <v>1</v>
      </c>
      <c r="H196" s="7" t="s">
        <v>56</v>
      </c>
      <c r="I196" s="4"/>
      <c r="J196" s="4"/>
      <c r="K196" s="4"/>
      <c r="L196" s="4"/>
    </row>
    <row r="197" customFormat="false" ht="84" hidden="false" customHeight="true" outlineLevel="0" collapsed="false">
      <c r="A197" s="3" t="n">
        <v>46371</v>
      </c>
      <c r="B197" s="4" t="s">
        <v>6</v>
      </c>
      <c r="C197" s="8" t="s">
        <v>7</v>
      </c>
      <c r="D197" s="6" t="s">
        <v>237</v>
      </c>
      <c r="E197" s="4" t="n">
        <v>65</v>
      </c>
      <c r="F197" s="6" t="s">
        <v>43</v>
      </c>
      <c r="G197" s="4" t="n">
        <v>6</v>
      </c>
      <c r="H197" s="7" t="s">
        <v>238</v>
      </c>
      <c r="I197" s="4" t="n">
        <v>11</v>
      </c>
      <c r="J197" s="4"/>
      <c r="K197" s="4"/>
      <c r="L197" s="4" t="n">
        <v>75</v>
      </c>
    </row>
    <row r="198" customFormat="false" ht="24" hidden="false" customHeight="true" outlineLevel="0" collapsed="false">
      <c r="A198" s="3" t="n">
        <v>46371</v>
      </c>
      <c r="B198" s="4" t="s">
        <v>6</v>
      </c>
      <c r="C198" s="9" t="s">
        <v>11</v>
      </c>
      <c r="D198" s="6" t="s">
        <v>59</v>
      </c>
      <c r="E198" s="4" t="n">
        <v>51</v>
      </c>
      <c r="F198" s="6" t="s">
        <v>9</v>
      </c>
      <c r="G198" s="4" t="n">
        <v>2</v>
      </c>
      <c r="H198" s="7" t="s">
        <v>239</v>
      </c>
      <c r="I198" s="4"/>
      <c r="J198" s="4" t="n">
        <v>24</v>
      </c>
      <c r="K198" s="4"/>
      <c r="L198" s="4" t="n">
        <v>31</v>
      </c>
    </row>
    <row r="199" customFormat="false" ht="60" hidden="false" customHeight="true" outlineLevel="0" collapsed="false">
      <c r="A199" s="3" t="n">
        <v>46372</v>
      </c>
      <c r="B199" s="4" t="s">
        <v>14</v>
      </c>
      <c r="C199" s="9" t="s">
        <v>11</v>
      </c>
      <c r="D199" s="6" t="s">
        <v>240</v>
      </c>
      <c r="E199" s="4" t="n">
        <v>146</v>
      </c>
      <c r="F199" s="6" t="s">
        <v>43</v>
      </c>
      <c r="G199" s="4" t="n">
        <v>6</v>
      </c>
      <c r="H199" s="7" t="s">
        <v>241</v>
      </c>
      <c r="I199" s="4"/>
      <c r="J199" s="4" t="n">
        <v>68</v>
      </c>
      <c r="K199" s="4"/>
      <c r="L199" s="4" t="n">
        <v>256</v>
      </c>
    </row>
    <row r="200" customFormat="false" ht="36" hidden="false" customHeight="true" outlineLevel="0" collapsed="false">
      <c r="A200" s="3" t="n">
        <v>46373</v>
      </c>
      <c r="B200" s="4" t="s">
        <v>17</v>
      </c>
      <c r="C200" s="10" t="s">
        <v>27</v>
      </c>
      <c r="D200" s="6" t="s">
        <v>33</v>
      </c>
      <c r="E200" s="4" t="n">
        <v>60</v>
      </c>
      <c r="F200" s="6" t="s">
        <v>4</v>
      </c>
      <c r="G200" s="4" t="n">
        <v>4</v>
      </c>
      <c r="H200" s="7" t="s">
        <v>242</v>
      </c>
      <c r="I200" s="4"/>
      <c r="J200" s="4"/>
      <c r="K200" s="4" t="n">
        <v>2200</v>
      </c>
      <c r="L200" s="4"/>
    </row>
    <row r="201" customFormat="false" ht="36" hidden="false" customHeight="true" outlineLevel="0" collapsed="false">
      <c r="A201" s="3" t="n">
        <v>46373</v>
      </c>
      <c r="B201" s="4" t="s">
        <v>17</v>
      </c>
      <c r="C201" s="8" t="s">
        <v>7</v>
      </c>
      <c r="D201" s="6" t="s">
        <v>75</v>
      </c>
      <c r="E201" s="4" t="n">
        <v>62</v>
      </c>
      <c r="F201" s="6" t="s">
        <v>19</v>
      </c>
      <c r="G201" s="4" t="n">
        <v>2</v>
      </c>
      <c r="H201" s="7" t="s">
        <v>243</v>
      </c>
      <c r="I201" s="4" t="n">
        <v>10</v>
      </c>
      <c r="J201" s="4"/>
      <c r="K201" s="4"/>
      <c r="L201" s="4" t="n">
        <v>50</v>
      </c>
    </row>
    <row r="202" customFormat="false" ht="24" hidden="false" customHeight="true" outlineLevel="0" collapsed="false">
      <c r="A202" s="3" t="n">
        <v>46374</v>
      </c>
      <c r="B202" s="4" t="s">
        <v>21</v>
      </c>
      <c r="C202" s="8" t="s">
        <v>7</v>
      </c>
      <c r="D202" s="6" t="s">
        <v>22</v>
      </c>
      <c r="E202" s="4" t="n">
        <v>27</v>
      </c>
      <c r="F202" s="6" t="s">
        <v>19</v>
      </c>
      <c r="G202" s="4" t="n">
        <v>2</v>
      </c>
      <c r="H202" s="7" t="s">
        <v>159</v>
      </c>
      <c r="I202" s="4" t="n">
        <v>4</v>
      </c>
      <c r="J202" s="4"/>
      <c r="K202" s="4"/>
      <c r="L202" s="4" t="n">
        <v>20</v>
      </c>
    </row>
    <row r="203" customFormat="false" ht="48" hidden="false" customHeight="true" outlineLevel="0" collapsed="false">
      <c r="A203" s="3" t="n">
        <v>46374</v>
      </c>
      <c r="B203" s="4" t="s">
        <v>21</v>
      </c>
      <c r="C203" s="9" t="s">
        <v>11</v>
      </c>
      <c r="D203" s="6" t="s">
        <v>65</v>
      </c>
      <c r="E203" s="4" t="n">
        <v>118</v>
      </c>
      <c r="F203" s="6" t="s">
        <v>47</v>
      </c>
      <c r="G203" s="4" t="n">
        <v>5</v>
      </c>
      <c r="H203" s="7" t="s">
        <v>244</v>
      </c>
      <c r="I203" s="4"/>
      <c r="J203" s="4" t="n">
        <v>55</v>
      </c>
      <c r="K203" s="4"/>
      <c r="L203" s="4" t="n">
        <v>159</v>
      </c>
    </row>
    <row r="204" customFormat="false" ht="48" hidden="false" customHeight="true" outlineLevel="0" collapsed="false">
      <c r="A204" s="3" t="n">
        <v>46375</v>
      </c>
      <c r="B204" s="4" t="s">
        <v>26</v>
      </c>
      <c r="C204" s="10" t="s">
        <v>27</v>
      </c>
      <c r="D204" s="6" t="s">
        <v>103</v>
      </c>
      <c r="E204" s="4" t="n">
        <v>100</v>
      </c>
      <c r="F204" s="6" t="s">
        <v>4</v>
      </c>
      <c r="G204" s="4" t="n">
        <v>5</v>
      </c>
      <c r="H204" s="7" t="s">
        <v>245</v>
      </c>
      <c r="I204" s="4"/>
      <c r="J204" s="4"/>
      <c r="K204" s="4" t="n">
        <v>3550</v>
      </c>
      <c r="L204" s="4"/>
    </row>
    <row r="205" customFormat="false" ht="36" hidden="false" customHeight="true" outlineLevel="0" collapsed="false">
      <c r="A205" s="3" t="n">
        <v>46375</v>
      </c>
      <c r="B205" s="4" t="s">
        <v>26</v>
      </c>
      <c r="C205" s="8" t="s">
        <v>7</v>
      </c>
      <c r="D205" s="6" t="s">
        <v>246</v>
      </c>
      <c r="E205" s="4" t="n">
        <v>111</v>
      </c>
      <c r="F205" s="6" t="s">
        <v>9</v>
      </c>
      <c r="G205" s="4" t="n">
        <v>6</v>
      </c>
      <c r="H205" s="7" t="s">
        <v>247</v>
      </c>
      <c r="I205" s="4" t="n">
        <v>18</v>
      </c>
      <c r="J205" s="4"/>
      <c r="K205" s="4"/>
      <c r="L205" s="4" t="n">
        <v>89</v>
      </c>
    </row>
    <row r="206" customFormat="false" ht="36" hidden="false" customHeight="true" outlineLevel="0" collapsed="false">
      <c r="A206" s="3" t="n">
        <v>46376</v>
      </c>
      <c r="B206" s="4" t="s">
        <v>32</v>
      </c>
      <c r="C206" s="9" t="s">
        <v>11</v>
      </c>
      <c r="D206" s="6" t="s">
        <v>248</v>
      </c>
      <c r="E206" s="4" t="n">
        <v>289</v>
      </c>
      <c r="F206" s="6" t="s">
        <v>47</v>
      </c>
      <c r="G206" s="4" t="n">
        <v>6</v>
      </c>
      <c r="H206" s="7" t="s">
        <v>249</v>
      </c>
      <c r="I206" s="4"/>
      <c r="J206" s="4" t="n">
        <v>135</v>
      </c>
      <c r="K206" s="4"/>
      <c r="L206" s="4" t="n">
        <v>434</v>
      </c>
    </row>
    <row r="207" customFormat="false" ht="36" hidden="false" customHeight="true" outlineLevel="0" collapsed="false">
      <c r="A207" s="3" t="n">
        <v>46376</v>
      </c>
      <c r="B207" s="4" t="s">
        <v>32</v>
      </c>
      <c r="C207" s="10" t="s">
        <v>27</v>
      </c>
      <c r="D207" s="6" t="s">
        <v>33</v>
      </c>
      <c r="E207" s="4" t="n">
        <v>64</v>
      </c>
      <c r="F207" s="6" t="s">
        <v>4</v>
      </c>
      <c r="G207" s="4" t="n">
        <v>4</v>
      </c>
      <c r="H207" s="7" t="s">
        <v>250</v>
      </c>
      <c r="I207" s="4"/>
      <c r="J207" s="4"/>
      <c r="K207" s="4" t="n">
        <v>2450</v>
      </c>
      <c r="L207" s="4"/>
    </row>
    <row r="208" customFormat="false" ht="15" hidden="false" customHeight="true" outlineLevel="0" collapsed="false">
      <c r="A208" s="11"/>
      <c r="B208" s="11"/>
      <c r="C208" s="11"/>
      <c r="D208" s="11"/>
      <c r="E208" s="11"/>
      <c r="F208" s="11"/>
      <c r="G208" s="11"/>
      <c r="H208" s="12" t="s">
        <v>35</v>
      </c>
      <c r="I208" s="11" t="n">
        <f aca="false">SUM(I196:I207)</f>
        <v>43</v>
      </c>
      <c r="J208" s="11" t="n">
        <f aca="false">SUM(J196:J207)</f>
        <v>282</v>
      </c>
      <c r="K208" s="11" t="n">
        <f aca="false">SUM(K196:K207)</f>
        <v>8200</v>
      </c>
      <c r="L208" s="11"/>
    </row>
    <row r="209" customFormat="false" ht="15" hidden="false" customHeight="true" outlineLevel="0" collapsed="false">
      <c r="A209" s="2" t="s">
        <v>251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customFormat="false" ht="15" hidden="false" customHeight="true" outlineLevel="0" collapsed="false">
      <c r="A210" s="3" t="n">
        <v>46377</v>
      </c>
      <c r="B210" s="4" t="s">
        <v>1</v>
      </c>
      <c r="C210" s="5" t="s">
        <v>2</v>
      </c>
      <c r="D210" s="6" t="s">
        <v>252</v>
      </c>
      <c r="E210" s="4"/>
      <c r="F210" s="6"/>
      <c r="G210" s="4"/>
      <c r="H210" s="7" t="s">
        <v>56</v>
      </c>
      <c r="I210" s="4"/>
      <c r="J210" s="4"/>
      <c r="K210" s="4"/>
      <c r="L210" s="4"/>
    </row>
    <row r="211" customFormat="false" ht="60" hidden="false" customHeight="true" outlineLevel="0" collapsed="false">
      <c r="A211" s="3" t="n">
        <v>46378</v>
      </c>
      <c r="B211" s="4" t="s">
        <v>6</v>
      </c>
      <c r="C211" s="9" t="s">
        <v>11</v>
      </c>
      <c r="D211" s="6" t="s">
        <v>253</v>
      </c>
      <c r="E211" s="4" t="n">
        <v>136</v>
      </c>
      <c r="F211" s="6" t="s">
        <v>43</v>
      </c>
      <c r="G211" s="4" t="n">
        <v>5</v>
      </c>
      <c r="H211" s="7" t="s">
        <v>254</v>
      </c>
      <c r="I211" s="4"/>
      <c r="J211" s="4" t="n">
        <v>63.5</v>
      </c>
      <c r="K211" s="4"/>
      <c r="L211" s="4" t="n">
        <v>205</v>
      </c>
    </row>
    <row r="212" customFormat="false" ht="48" hidden="false" customHeight="true" outlineLevel="0" collapsed="false">
      <c r="A212" s="3" t="n">
        <v>46378</v>
      </c>
      <c r="B212" s="4" t="s">
        <v>6</v>
      </c>
      <c r="C212" s="10" t="s">
        <v>27</v>
      </c>
      <c r="D212" s="6" t="s">
        <v>103</v>
      </c>
      <c r="E212" s="4" t="n">
        <v>88</v>
      </c>
      <c r="F212" s="6" t="s">
        <v>4</v>
      </c>
      <c r="G212" s="4" t="n">
        <v>4</v>
      </c>
      <c r="H212" s="7" t="s">
        <v>255</v>
      </c>
      <c r="I212" s="4"/>
      <c r="J212" s="4"/>
      <c r="K212" s="4" t="n">
        <v>3000</v>
      </c>
      <c r="L212" s="4"/>
    </row>
    <row r="213" customFormat="false" ht="24" hidden="false" customHeight="true" outlineLevel="0" collapsed="false">
      <c r="A213" s="3" t="n">
        <v>46379</v>
      </c>
      <c r="B213" s="4" t="s">
        <v>14</v>
      </c>
      <c r="C213" s="9" t="s">
        <v>11</v>
      </c>
      <c r="D213" s="6" t="s">
        <v>256</v>
      </c>
      <c r="E213" s="4" t="n">
        <v>100</v>
      </c>
      <c r="F213" s="6" t="s">
        <v>9</v>
      </c>
      <c r="G213" s="4" t="n">
        <v>3</v>
      </c>
      <c r="H213" s="7" t="s">
        <v>257</v>
      </c>
      <c r="I213" s="4"/>
      <c r="J213" s="4" t="n">
        <v>46.5</v>
      </c>
      <c r="K213" s="4"/>
      <c r="L213" s="4" t="n">
        <v>75</v>
      </c>
    </row>
    <row r="214" customFormat="false" ht="84" hidden="false" customHeight="true" outlineLevel="0" collapsed="false">
      <c r="A214" s="3" t="n">
        <v>46380</v>
      </c>
      <c r="B214" s="4" t="s">
        <v>17</v>
      </c>
      <c r="C214" s="8" t="s">
        <v>7</v>
      </c>
      <c r="D214" s="6" t="s">
        <v>237</v>
      </c>
      <c r="E214" s="4" t="n">
        <v>65</v>
      </c>
      <c r="F214" s="6" t="s">
        <v>43</v>
      </c>
      <c r="G214" s="4" t="n">
        <v>6</v>
      </c>
      <c r="H214" s="7" t="s">
        <v>238</v>
      </c>
      <c r="I214" s="4" t="n">
        <v>11.5</v>
      </c>
      <c r="J214" s="4"/>
      <c r="K214" s="4"/>
      <c r="L214" s="4" t="n">
        <v>75</v>
      </c>
    </row>
    <row r="215" customFormat="false" ht="15" hidden="false" customHeight="true" outlineLevel="0" collapsed="false">
      <c r="A215" s="3" t="n">
        <v>46381</v>
      </c>
      <c r="B215" s="4" t="s">
        <v>21</v>
      </c>
      <c r="C215" s="8" t="s">
        <v>7</v>
      </c>
      <c r="D215" s="6" t="s">
        <v>258</v>
      </c>
      <c r="E215" s="4" t="n">
        <v>65</v>
      </c>
      <c r="F215" s="6" t="s">
        <v>9</v>
      </c>
      <c r="G215" s="4" t="n">
        <v>2</v>
      </c>
      <c r="H215" s="7" t="s">
        <v>259</v>
      </c>
      <c r="I215" s="4" t="n">
        <v>10.5</v>
      </c>
      <c r="J215" s="4"/>
      <c r="K215" s="4"/>
      <c r="L215" s="4" t="n">
        <v>58</v>
      </c>
    </row>
    <row r="216" customFormat="false" ht="15" hidden="false" customHeight="true" outlineLevel="0" collapsed="false">
      <c r="A216" s="3" t="n">
        <v>46382</v>
      </c>
      <c r="B216" s="4" t="s">
        <v>26</v>
      </c>
      <c r="C216" s="8" t="s">
        <v>2</v>
      </c>
      <c r="D216" s="6" t="s">
        <v>252</v>
      </c>
      <c r="E216" s="4"/>
      <c r="F216" s="6"/>
      <c r="G216" s="4"/>
      <c r="H216" s="7" t="s">
        <v>56</v>
      </c>
      <c r="I216" s="4"/>
      <c r="J216" s="4"/>
      <c r="K216" s="4"/>
      <c r="L216" s="4"/>
    </row>
    <row r="217" customFormat="false" ht="24" hidden="false" customHeight="true" outlineLevel="0" collapsed="false">
      <c r="A217" s="3" t="n">
        <v>46383</v>
      </c>
      <c r="B217" s="4" t="s">
        <v>32</v>
      </c>
      <c r="C217" s="8" t="s">
        <v>7</v>
      </c>
      <c r="D217" s="6" t="s">
        <v>246</v>
      </c>
      <c r="E217" s="4" t="n">
        <v>111</v>
      </c>
      <c r="F217" s="6" t="s">
        <v>9</v>
      </c>
      <c r="G217" s="4" t="n">
        <v>6</v>
      </c>
      <c r="H217" s="7" t="s">
        <v>260</v>
      </c>
      <c r="I217" s="4" t="n">
        <v>18</v>
      </c>
      <c r="J217" s="4"/>
      <c r="K217" s="4"/>
      <c r="L217" s="4" t="n">
        <v>89</v>
      </c>
    </row>
    <row r="218" customFormat="false" ht="15" hidden="false" customHeight="true" outlineLevel="0" collapsed="false">
      <c r="A218" s="11"/>
      <c r="B218" s="11"/>
      <c r="C218" s="11"/>
      <c r="D218" s="11"/>
      <c r="E218" s="11"/>
      <c r="F218" s="11"/>
      <c r="G218" s="11"/>
      <c r="H218" s="12" t="s">
        <v>35</v>
      </c>
      <c r="I218" s="11" t="n">
        <f aca="false">SUM(I210:I217)</f>
        <v>40</v>
      </c>
      <c r="J218" s="11" t="n">
        <f aca="false">SUM(J210:J217)</f>
        <v>110</v>
      </c>
      <c r="K218" s="11" t="n">
        <f aca="false">SUM(K210:K217)</f>
        <v>3000</v>
      </c>
      <c r="L218" s="11"/>
    </row>
    <row r="219" customFormat="false" ht="15" hidden="false" customHeight="true" outlineLevel="0" collapsed="false">
      <c r="A219" s="14" t="s">
        <v>261</v>
      </c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</row>
    <row r="220" customFormat="false" ht="15" hidden="false" customHeight="true" outlineLevel="0" collapsed="false">
      <c r="A220" s="3" t="n">
        <v>46384</v>
      </c>
      <c r="B220" s="4" t="s">
        <v>1</v>
      </c>
      <c r="C220" s="5" t="s">
        <v>2</v>
      </c>
      <c r="D220" s="6" t="s">
        <v>3</v>
      </c>
      <c r="E220" s="4"/>
      <c r="F220" s="6"/>
      <c r="G220" s="4"/>
      <c r="H220" s="7" t="s">
        <v>56</v>
      </c>
      <c r="I220" s="4"/>
      <c r="J220" s="4"/>
      <c r="K220" s="4"/>
      <c r="L220" s="4"/>
    </row>
    <row r="221" customFormat="false" ht="108" hidden="false" customHeight="true" outlineLevel="0" collapsed="false">
      <c r="A221" s="3" t="n">
        <v>46385</v>
      </c>
      <c r="B221" s="4" t="s">
        <v>6</v>
      </c>
      <c r="C221" s="8" t="s">
        <v>7</v>
      </c>
      <c r="D221" s="6" t="s">
        <v>38</v>
      </c>
      <c r="E221" s="4" t="n">
        <v>43</v>
      </c>
      <c r="F221" s="6" t="s">
        <v>39</v>
      </c>
      <c r="G221" s="4" t="n">
        <v>6</v>
      </c>
      <c r="H221" s="7" t="s">
        <v>125</v>
      </c>
      <c r="I221" s="4" t="n">
        <v>7.5</v>
      </c>
      <c r="J221" s="4"/>
      <c r="K221" s="4"/>
      <c r="L221" s="4" t="n">
        <v>40</v>
      </c>
    </row>
    <row r="222" customFormat="false" ht="84" hidden="false" customHeight="true" outlineLevel="0" collapsed="false">
      <c r="A222" s="3" t="n">
        <v>46386</v>
      </c>
      <c r="B222" s="4" t="s">
        <v>14</v>
      </c>
      <c r="C222" s="8" t="s">
        <v>7</v>
      </c>
      <c r="D222" s="6" t="s">
        <v>262</v>
      </c>
      <c r="E222" s="4" t="n">
        <v>37</v>
      </c>
      <c r="F222" s="6" t="s">
        <v>47</v>
      </c>
      <c r="G222" s="4" t="n">
        <v>5</v>
      </c>
      <c r="H222" s="7" t="s">
        <v>263</v>
      </c>
      <c r="I222" s="4" t="n">
        <v>6.5</v>
      </c>
      <c r="J222" s="4"/>
      <c r="K222" s="4"/>
      <c r="L222" s="4" t="n">
        <v>75</v>
      </c>
    </row>
    <row r="223" customFormat="false" ht="15" hidden="false" customHeight="true" outlineLevel="0" collapsed="false">
      <c r="A223" s="3" t="n">
        <v>46387</v>
      </c>
      <c r="B223" s="4" t="s">
        <v>17</v>
      </c>
      <c r="C223" s="8" t="s">
        <v>7</v>
      </c>
      <c r="D223" s="6" t="s">
        <v>264</v>
      </c>
      <c r="E223" s="4" t="n">
        <v>43</v>
      </c>
      <c r="F223" s="6" t="s">
        <v>9</v>
      </c>
      <c r="G223" s="4" t="n">
        <v>4</v>
      </c>
      <c r="H223" s="7" t="s">
        <v>265</v>
      </c>
      <c r="I223" s="4" t="n">
        <v>7</v>
      </c>
      <c r="J223" s="4"/>
      <c r="K223" s="4"/>
      <c r="L223" s="4" t="n">
        <v>43</v>
      </c>
    </row>
    <row r="224" customFormat="false" ht="24" hidden="false" customHeight="true" outlineLevel="0" collapsed="false">
      <c r="A224" s="3" t="n">
        <v>46388</v>
      </c>
      <c r="B224" s="4" t="s">
        <v>21</v>
      </c>
      <c r="C224" s="8" t="s">
        <v>7</v>
      </c>
      <c r="D224" s="6" t="s">
        <v>22</v>
      </c>
      <c r="E224" s="4" t="n">
        <v>33</v>
      </c>
      <c r="F224" s="6" t="s">
        <v>19</v>
      </c>
      <c r="G224" s="4" t="n">
        <v>2</v>
      </c>
      <c r="H224" s="7" t="s">
        <v>266</v>
      </c>
      <c r="I224" s="4" t="n">
        <v>5</v>
      </c>
      <c r="J224" s="4"/>
      <c r="K224" s="4"/>
      <c r="L224" s="4" t="n">
        <v>20</v>
      </c>
    </row>
    <row r="225" customFormat="false" ht="36" hidden="false" customHeight="true" outlineLevel="0" collapsed="false">
      <c r="A225" s="3" t="n">
        <v>46389</v>
      </c>
      <c r="B225" s="4" t="s">
        <v>26</v>
      </c>
      <c r="C225" s="8" t="s">
        <v>7</v>
      </c>
      <c r="D225" s="6" t="s">
        <v>267</v>
      </c>
      <c r="E225" s="4" t="n">
        <v>117</v>
      </c>
      <c r="F225" s="6" t="s">
        <v>9</v>
      </c>
      <c r="G225" s="4" t="n">
        <v>6</v>
      </c>
      <c r="H225" s="7" t="s">
        <v>268</v>
      </c>
      <c r="I225" s="4" t="n">
        <v>19</v>
      </c>
      <c r="J225" s="4"/>
      <c r="K225" s="4"/>
      <c r="L225" s="4" t="n">
        <v>94</v>
      </c>
    </row>
    <row r="226" customFormat="false" ht="48" hidden="false" customHeight="true" outlineLevel="0" collapsed="false">
      <c r="A226" s="3" t="n">
        <v>46389</v>
      </c>
      <c r="B226" s="4" t="s">
        <v>26</v>
      </c>
      <c r="C226" s="10" t="s">
        <v>27</v>
      </c>
      <c r="D226" s="6" t="s">
        <v>103</v>
      </c>
      <c r="E226" s="4" t="n">
        <v>99</v>
      </c>
      <c r="F226" s="6" t="s">
        <v>4</v>
      </c>
      <c r="G226" s="4" t="n">
        <v>5</v>
      </c>
      <c r="H226" s="7" t="s">
        <v>269</v>
      </c>
      <c r="I226" s="4"/>
      <c r="J226" s="4"/>
      <c r="K226" s="4" t="n">
        <v>3500</v>
      </c>
      <c r="L226" s="4"/>
    </row>
    <row r="227" customFormat="false" ht="48" hidden="false" customHeight="true" outlineLevel="0" collapsed="false">
      <c r="A227" s="3" t="n">
        <v>46390</v>
      </c>
      <c r="B227" s="4" t="s">
        <v>32</v>
      </c>
      <c r="C227" s="9" t="s">
        <v>11</v>
      </c>
      <c r="D227" s="6" t="s">
        <v>270</v>
      </c>
      <c r="E227" s="4" t="n">
        <v>150</v>
      </c>
      <c r="F227" s="6" t="s">
        <v>47</v>
      </c>
      <c r="G227" s="4" t="n">
        <v>4</v>
      </c>
      <c r="H227" s="7" t="s">
        <v>271</v>
      </c>
      <c r="I227" s="4"/>
      <c r="J227" s="4" t="n">
        <v>70</v>
      </c>
      <c r="K227" s="4"/>
      <c r="L227" s="4" t="n">
        <v>225</v>
      </c>
    </row>
    <row r="228" customFormat="false" ht="15" hidden="false" customHeight="true" outlineLevel="0" collapsed="false">
      <c r="A228" s="11"/>
      <c r="B228" s="11"/>
      <c r="C228" s="11"/>
      <c r="D228" s="11"/>
      <c r="E228" s="11"/>
      <c r="F228" s="11"/>
      <c r="G228" s="11"/>
      <c r="H228" s="12" t="s">
        <v>35</v>
      </c>
      <c r="I228" s="11" t="n">
        <f aca="false">SUM(I220:I227)</f>
        <v>45</v>
      </c>
      <c r="J228" s="11" t="n">
        <f aca="false">SUM(J220:J227)</f>
        <v>70</v>
      </c>
      <c r="K228" s="11" t="n">
        <f aca="false">SUM(K220:K227)</f>
        <v>3500</v>
      </c>
      <c r="L228" s="11"/>
    </row>
    <row r="229" customFormat="false" ht="15" hidden="false" customHeight="true" outlineLevel="0" collapsed="false">
      <c r="A229" s="16" t="s">
        <v>272</v>
      </c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</row>
    <row r="230" customFormat="false" ht="48" hidden="false" customHeight="true" outlineLevel="0" collapsed="false">
      <c r="A230" s="3" t="n">
        <v>46391</v>
      </c>
      <c r="B230" s="4" t="s">
        <v>1</v>
      </c>
      <c r="C230" s="5" t="s">
        <v>2</v>
      </c>
      <c r="D230" s="6" t="s">
        <v>3</v>
      </c>
      <c r="E230" s="4" t="s">
        <v>4</v>
      </c>
      <c r="F230" s="6" t="s">
        <v>4</v>
      </c>
      <c r="G230" s="4" t="n">
        <v>1</v>
      </c>
      <c r="H230" s="7" t="s">
        <v>56</v>
      </c>
      <c r="I230" s="4"/>
      <c r="J230" s="4"/>
      <c r="K230" s="4"/>
      <c r="L230" s="4"/>
    </row>
    <row r="231" customFormat="false" ht="168" hidden="false" customHeight="true" outlineLevel="0" collapsed="false">
      <c r="A231" s="3" t="n">
        <v>46392</v>
      </c>
      <c r="B231" s="4" t="s">
        <v>6</v>
      </c>
      <c r="C231" s="8" t="s">
        <v>7</v>
      </c>
      <c r="D231" s="6" t="s">
        <v>223</v>
      </c>
      <c r="E231" s="4" t="n">
        <v>60</v>
      </c>
      <c r="F231" s="6" t="s">
        <v>39</v>
      </c>
      <c r="G231" s="4" t="n">
        <v>7</v>
      </c>
      <c r="H231" s="7" t="s">
        <v>273</v>
      </c>
      <c r="I231" s="4" t="n">
        <v>10.5</v>
      </c>
      <c r="J231" s="4"/>
      <c r="K231" s="4"/>
      <c r="L231" s="4" t="n">
        <v>75</v>
      </c>
    </row>
    <row r="232" customFormat="false" ht="24" hidden="false" customHeight="true" outlineLevel="0" collapsed="false">
      <c r="A232" s="3" t="n">
        <v>46392</v>
      </c>
      <c r="B232" s="4" t="s">
        <v>6</v>
      </c>
      <c r="C232" s="9" t="s">
        <v>11</v>
      </c>
      <c r="D232" s="6" t="s">
        <v>59</v>
      </c>
      <c r="E232" s="4" t="n">
        <v>51</v>
      </c>
      <c r="F232" s="6" t="s">
        <v>9</v>
      </c>
      <c r="G232" s="4" t="n">
        <v>2</v>
      </c>
      <c r="H232" s="7" t="s">
        <v>239</v>
      </c>
      <c r="I232" s="4"/>
      <c r="J232" s="4" t="n">
        <v>24</v>
      </c>
      <c r="K232" s="4"/>
      <c r="L232" s="4" t="n">
        <v>31</v>
      </c>
    </row>
    <row r="233" customFormat="false" ht="60" hidden="false" customHeight="true" outlineLevel="0" collapsed="false">
      <c r="A233" s="3" t="n">
        <v>46393</v>
      </c>
      <c r="B233" s="4" t="s">
        <v>14</v>
      </c>
      <c r="C233" s="9" t="s">
        <v>11</v>
      </c>
      <c r="D233" s="6" t="s">
        <v>274</v>
      </c>
      <c r="E233" s="4" t="n">
        <v>124</v>
      </c>
      <c r="F233" s="6" t="s">
        <v>43</v>
      </c>
      <c r="G233" s="4" t="n">
        <v>6</v>
      </c>
      <c r="H233" s="7" t="s">
        <v>275</v>
      </c>
      <c r="I233" s="4"/>
      <c r="J233" s="4" t="n">
        <v>58</v>
      </c>
      <c r="K233" s="4"/>
      <c r="L233" s="4" t="n">
        <v>240</v>
      </c>
    </row>
    <row r="234" customFormat="false" ht="24" hidden="false" customHeight="true" outlineLevel="0" collapsed="false">
      <c r="A234" s="3" t="n">
        <v>46394</v>
      </c>
      <c r="B234" s="4" t="s">
        <v>17</v>
      </c>
      <c r="C234" s="8" t="s">
        <v>7</v>
      </c>
      <c r="D234" s="6" t="s">
        <v>22</v>
      </c>
      <c r="E234" s="4" t="n">
        <v>62</v>
      </c>
      <c r="F234" s="6" t="s">
        <v>9</v>
      </c>
      <c r="G234" s="4" t="n">
        <v>4</v>
      </c>
      <c r="H234" s="7" t="s">
        <v>276</v>
      </c>
      <c r="I234" s="4" t="n">
        <v>10</v>
      </c>
      <c r="J234" s="4"/>
      <c r="K234" s="4"/>
      <c r="L234" s="4" t="n">
        <v>26</v>
      </c>
    </row>
    <row r="235" customFormat="false" ht="36" hidden="false" customHeight="true" outlineLevel="0" collapsed="false">
      <c r="A235" s="3" t="n">
        <v>46394</v>
      </c>
      <c r="B235" s="4" t="s">
        <v>17</v>
      </c>
      <c r="C235" s="10" t="s">
        <v>27</v>
      </c>
      <c r="D235" s="6" t="s">
        <v>277</v>
      </c>
      <c r="E235" s="4" t="n">
        <v>58</v>
      </c>
      <c r="F235" s="6" t="s">
        <v>4</v>
      </c>
      <c r="G235" s="4" t="n">
        <v>2</v>
      </c>
      <c r="H235" s="7" t="s">
        <v>278</v>
      </c>
      <c r="I235" s="4"/>
      <c r="J235" s="4"/>
      <c r="K235" s="4" t="n">
        <v>1900</v>
      </c>
      <c r="L235" s="4"/>
    </row>
    <row r="236" customFormat="false" ht="24" hidden="false" customHeight="true" outlineLevel="0" collapsed="false">
      <c r="A236" s="3" t="n">
        <v>46395</v>
      </c>
      <c r="B236" s="4" t="s">
        <v>21</v>
      </c>
      <c r="C236" s="8" t="s">
        <v>7</v>
      </c>
      <c r="D236" s="6" t="s">
        <v>22</v>
      </c>
      <c r="E236" s="4" t="n">
        <v>33</v>
      </c>
      <c r="F236" s="6" t="s">
        <v>19</v>
      </c>
      <c r="G236" s="4" t="n">
        <v>2</v>
      </c>
      <c r="H236" s="7" t="s">
        <v>266</v>
      </c>
      <c r="I236" s="4" t="n">
        <v>5</v>
      </c>
      <c r="J236" s="4"/>
      <c r="K236" s="4"/>
      <c r="L236" s="4" t="n">
        <v>20</v>
      </c>
    </row>
    <row r="237" customFormat="false" ht="48" hidden="false" customHeight="true" outlineLevel="0" collapsed="false">
      <c r="A237" s="3" t="n">
        <v>46395</v>
      </c>
      <c r="B237" s="4" t="s">
        <v>21</v>
      </c>
      <c r="C237" s="9" t="s">
        <v>11</v>
      </c>
      <c r="D237" s="6" t="s">
        <v>65</v>
      </c>
      <c r="E237" s="4" t="n">
        <v>103</v>
      </c>
      <c r="F237" s="6" t="s">
        <v>47</v>
      </c>
      <c r="G237" s="4" t="n">
        <v>5</v>
      </c>
      <c r="H237" s="7" t="s">
        <v>279</v>
      </c>
      <c r="I237" s="4"/>
      <c r="J237" s="4" t="n">
        <v>48</v>
      </c>
      <c r="K237" s="4"/>
      <c r="L237" s="4" t="n">
        <v>139</v>
      </c>
    </row>
    <row r="238" customFormat="false" ht="48" hidden="false" customHeight="true" outlineLevel="0" collapsed="false">
      <c r="A238" s="3" t="n">
        <v>46396</v>
      </c>
      <c r="B238" s="4" t="s">
        <v>26</v>
      </c>
      <c r="C238" s="10" t="s">
        <v>27</v>
      </c>
      <c r="D238" s="6" t="s">
        <v>103</v>
      </c>
      <c r="E238" s="4" t="n">
        <v>86</v>
      </c>
      <c r="F238" s="6" t="s">
        <v>4</v>
      </c>
      <c r="G238" s="4" t="n">
        <v>5</v>
      </c>
      <c r="H238" s="7" t="s">
        <v>280</v>
      </c>
      <c r="I238" s="4"/>
      <c r="J238" s="4"/>
      <c r="K238" s="4" t="n">
        <v>3000</v>
      </c>
      <c r="L238" s="4"/>
    </row>
    <row r="239" customFormat="false" ht="36" hidden="false" customHeight="true" outlineLevel="0" collapsed="false">
      <c r="A239" s="3" t="n">
        <v>46396</v>
      </c>
      <c r="B239" s="4" t="s">
        <v>26</v>
      </c>
      <c r="C239" s="8" t="s">
        <v>7</v>
      </c>
      <c r="D239" s="6" t="s">
        <v>281</v>
      </c>
      <c r="E239" s="4" t="n">
        <v>117</v>
      </c>
      <c r="F239" s="6" t="s">
        <v>47</v>
      </c>
      <c r="G239" s="4" t="n">
        <v>6</v>
      </c>
      <c r="H239" s="7" t="s">
        <v>282</v>
      </c>
      <c r="I239" s="4" t="n">
        <v>19</v>
      </c>
      <c r="J239" s="4"/>
      <c r="K239" s="4"/>
      <c r="L239" s="4" t="n">
        <v>94</v>
      </c>
    </row>
    <row r="240" customFormat="false" ht="36" hidden="false" customHeight="true" outlineLevel="0" collapsed="false">
      <c r="A240" s="3" t="n">
        <v>46397</v>
      </c>
      <c r="B240" s="4" t="s">
        <v>32</v>
      </c>
      <c r="C240" s="9" t="s">
        <v>11</v>
      </c>
      <c r="D240" s="6" t="s">
        <v>283</v>
      </c>
      <c r="E240" s="4" t="n">
        <v>257</v>
      </c>
      <c r="F240" s="6" t="s">
        <v>47</v>
      </c>
      <c r="G240" s="4" t="n">
        <v>6</v>
      </c>
      <c r="H240" s="7" t="s">
        <v>284</v>
      </c>
      <c r="I240" s="4"/>
      <c r="J240" s="4" t="n">
        <v>120</v>
      </c>
      <c r="K240" s="4"/>
      <c r="L240" s="4" t="n">
        <v>386</v>
      </c>
    </row>
    <row r="241" customFormat="false" ht="24" hidden="false" customHeight="true" outlineLevel="0" collapsed="false">
      <c r="A241" s="3" t="n">
        <v>46397</v>
      </c>
      <c r="B241" s="4" t="s">
        <v>32</v>
      </c>
      <c r="C241" s="8" t="s">
        <v>7</v>
      </c>
      <c r="D241" s="6" t="s">
        <v>285</v>
      </c>
      <c r="E241" s="4" t="n">
        <v>15</v>
      </c>
      <c r="F241" s="6" t="s">
        <v>47</v>
      </c>
      <c r="G241" s="4" t="n">
        <v>4</v>
      </c>
      <c r="H241" s="7" t="s">
        <v>286</v>
      </c>
      <c r="I241" s="4" t="n">
        <v>2.5</v>
      </c>
      <c r="J241" s="4"/>
      <c r="K241" s="4"/>
      <c r="L241" s="4"/>
    </row>
    <row r="242" customFormat="false" ht="36" hidden="false" customHeight="true" outlineLevel="0" collapsed="false">
      <c r="A242" s="3" t="n">
        <v>46397</v>
      </c>
      <c r="B242" s="4" t="s">
        <v>32</v>
      </c>
      <c r="C242" s="10" t="s">
        <v>27</v>
      </c>
      <c r="D242" s="6" t="s">
        <v>109</v>
      </c>
      <c r="E242" s="4" t="n">
        <v>63</v>
      </c>
      <c r="F242" s="6" t="s">
        <v>4</v>
      </c>
      <c r="G242" s="4" t="n">
        <v>7</v>
      </c>
      <c r="H242" s="7" t="s">
        <v>287</v>
      </c>
      <c r="I242" s="4"/>
      <c r="J242" s="4"/>
      <c r="K242" s="4" t="n">
        <v>2100</v>
      </c>
      <c r="L242" s="4"/>
    </row>
    <row r="243" customFormat="false" ht="15" hidden="false" customHeight="true" outlineLevel="0" collapsed="false">
      <c r="A243" s="11"/>
      <c r="B243" s="11"/>
      <c r="C243" s="11"/>
      <c r="D243" s="11"/>
      <c r="E243" s="11"/>
      <c r="F243" s="11"/>
      <c r="G243" s="11"/>
      <c r="H243" s="12" t="s">
        <v>35</v>
      </c>
      <c r="I243" s="11" t="n">
        <f aca="false">SUM(I230:I242)</f>
        <v>47</v>
      </c>
      <c r="J243" s="11" t="n">
        <f aca="false">SUM(J230:J242)</f>
        <v>250</v>
      </c>
      <c r="K243" s="11" t="n">
        <f aca="false">SUM(K230:K242)</f>
        <v>7000</v>
      </c>
      <c r="L243" s="11"/>
    </row>
    <row r="244" customFormat="false" ht="15" hidden="false" customHeight="true" outlineLevel="0" collapsed="false">
      <c r="A244" s="18" t="s">
        <v>288</v>
      </c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</row>
    <row r="245" customFormat="false" ht="60" hidden="false" customHeight="true" outlineLevel="0" collapsed="false">
      <c r="A245" s="3" t="n">
        <v>46398</v>
      </c>
      <c r="B245" s="19" t="s">
        <v>1</v>
      </c>
      <c r="C245" s="19" t="s">
        <v>2</v>
      </c>
      <c r="D245" s="19" t="s">
        <v>3</v>
      </c>
      <c r="E245" s="19" t="s">
        <v>4</v>
      </c>
      <c r="F245" s="19"/>
      <c r="G245" s="19"/>
      <c r="H245" s="19"/>
      <c r="I245" s="19"/>
      <c r="J245" s="19"/>
      <c r="K245" s="19"/>
    </row>
    <row r="246" customFormat="false" ht="84" hidden="false" customHeight="true" outlineLevel="0" collapsed="false">
      <c r="A246" s="3" t="n">
        <v>46399</v>
      </c>
      <c r="B246" s="4" t="s">
        <v>6</v>
      </c>
      <c r="C246" s="8" t="s">
        <v>7</v>
      </c>
      <c r="D246" s="6" t="s">
        <v>237</v>
      </c>
      <c r="E246" s="4" t="n">
        <v>65</v>
      </c>
      <c r="F246" s="6" t="s">
        <v>43</v>
      </c>
      <c r="G246" s="4" t="n">
        <v>6</v>
      </c>
      <c r="H246" s="7" t="s">
        <v>238</v>
      </c>
      <c r="I246" s="4" t="n">
        <v>11</v>
      </c>
      <c r="J246" s="4"/>
      <c r="K246" s="4"/>
      <c r="L246" s="4" t="n">
        <v>75</v>
      </c>
    </row>
    <row r="247" customFormat="false" ht="24" hidden="false" customHeight="true" outlineLevel="0" collapsed="false">
      <c r="A247" s="3" t="n">
        <v>46399</v>
      </c>
      <c r="B247" s="4" t="s">
        <v>6</v>
      </c>
      <c r="C247" s="9" t="s">
        <v>11</v>
      </c>
      <c r="D247" s="6" t="s">
        <v>59</v>
      </c>
      <c r="E247" s="4" t="n">
        <v>51</v>
      </c>
      <c r="F247" s="6" t="s">
        <v>9</v>
      </c>
      <c r="G247" s="4" t="n">
        <v>2</v>
      </c>
      <c r="H247" s="7" t="s">
        <v>239</v>
      </c>
      <c r="I247" s="4"/>
      <c r="J247" s="4" t="n">
        <v>24</v>
      </c>
      <c r="K247" s="4"/>
      <c r="L247" s="4" t="n">
        <v>31</v>
      </c>
    </row>
    <row r="248" customFormat="false" ht="60" hidden="false" customHeight="true" outlineLevel="0" collapsed="false">
      <c r="A248" s="3" t="n">
        <v>46400</v>
      </c>
      <c r="B248" s="4" t="s">
        <v>14</v>
      </c>
      <c r="C248" s="9" t="s">
        <v>11</v>
      </c>
      <c r="D248" s="6" t="s">
        <v>289</v>
      </c>
      <c r="E248" s="4" t="n">
        <v>131</v>
      </c>
      <c r="F248" s="6" t="s">
        <v>47</v>
      </c>
      <c r="G248" s="4" t="n">
        <v>6</v>
      </c>
      <c r="H248" s="7" t="s">
        <v>290</v>
      </c>
      <c r="I248" s="4"/>
      <c r="J248" s="4" t="n">
        <v>61</v>
      </c>
      <c r="K248" s="4"/>
      <c r="L248" s="4" t="n">
        <v>251</v>
      </c>
    </row>
    <row r="249" customFormat="false" ht="24" hidden="false" customHeight="true" outlineLevel="0" collapsed="false">
      <c r="A249" s="3" t="n">
        <v>46401</v>
      </c>
      <c r="B249" s="4" t="s">
        <v>17</v>
      </c>
      <c r="C249" s="8" t="s">
        <v>7</v>
      </c>
      <c r="D249" s="6" t="s">
        <v>22</v>
      </c>
      <c r="E249" s="4" t="n">
        <v>65</v>
      </c>
      <c r="F249" s="6" t="s">
        <v>9</v>
      </c>
      <c r="G249" s="4" t="n">
        <v>4</v>
      </c>
      <c r="H249" s="7" t="s">
        <v>291</v>
      </c>
      <c r="I249" s="4" t="n">
        <v>10.5</v>
      </c>
      <c r="J249" s="4"/>
      <c r="K249" s="4"/>
      <c r="L249" s="4" t="n">
        <v>26</v>
      </c>
    </row>
    <row r="250" customFormat="false" ht="36" hidden="false" customHeight="true" outlineLevel="0" collapsed="false">
      <c r="A250" s="3" t="n">
        <v>46401</v>
      </c>
      <c r="B250" s="4" t="s">
        <v>17</v>
      </c>
      <c r="C250" s="10" t="s">
        <v>27</v>
      </c>
      <c r="D250" s="6" t="s">
        <v>277</v>
      </c>
      <c r="E250" s="4" t="n">
        <v>63</v>
      </c>
      <c r="F250" s="6" t="s">
        <v>4</v>
      </c>
      <c r="G250" s="4" t="n">
        <v>2</v>
      </c>
      <c r="H250" s="7" t="s">
        <v>292</v>
      </c>
      <c r="I250" s="4"/>
      <c r="J250" s="4"/>
      <c r="K250" s="4" t="n">
        <v>2100</v>
      </c>
      <c r="L250" s="4"/>
    </row>
    <row r="251" customFormat="false" ht="24" hidden="false" customHeight="true" outlineLevel="0" collapsed="false">
      <c r="A251" s="3" t="n">
        <v>46402</v>
      </c>
      <c r="B251" s="4" t="s">
        <v>21</v>
      </c>
      <c r="C251" s="8" t="s">
        <v>7</v>
      </c>
      <c r="D251" s="6" t="s">
        <v>22</v>
      </c>
      <c r="E251" s="4" t="n">
        <v>33</v>
      </c>
      <c r="F251" s="6" t="s">
        <v>19</v>
      </c>
      <c r="G251" s="4" t="n">
        <v>2</v>
      </c>
      <c r="H251" s="7" t="s">
        <v>266</v>
      </c>
      <c r="I251" s="4" t="n">
        <v>5</v>
      </c>
      <c r="J251" s="4"/>
      <c r="K251" s="4"/>
      <c r="L251" s="4" t="n">
        <v>20</v>
      </c>
    </row>
    <row r="252" customFormat="false" ht="48" hidden="false" customHeight="true" outlineLevel="0" collapsed="false">
      <c r="A252" s="3" t="n">
        <v>46402</v>
      </c>
      <c r="B252" s="4" t="s">
        <v>21</v>
      </c>
      <c r="C252" s="9" t="s">
        <v>11</v>
      </c>
      <c r="D252" s="6" t="s">
        <v>65</v>
      </c>
      <c r="E252" s="4" t="n">
        <v>107</v>
      </c>
      <c r="F252" s="6" t="s">
        <v>47</v>
      </c>
      <c r="G252" s="4" t="n">
        <v>5</v>
      </c>
      <c r="H252" s="7" t="s">
        <v>293</v>
      </c>
      <c r="I252" s="4"/>
      <c r="J252" s="4" t="n">
        <v>50</v>
      </c>
      <c r="K252" s="4"/>
      <c r="L252" s="4" t="n">
        <v>144</v>
      </c>
    </row>
    <row r="253" customFormat="false" ht="48" hidden="false" customHeight="true" outlineLevel="0" collapsed="false">
      <c r="A253" s="3" t="n">
        <v>46403</v>
      </c>
      <c r="B253" s="4" t="s">
        <v>26</v>
      </c>
      <c r="C253" s="10" t="s">
        <v>27</v>
      </c>
      <c r="D253" s="6" t="s">
        <v>103</v>
      </c>
      <c r="E253" s="4" t="n">
        <v>94</v>
      </c>
      <c r="F253" s="6" t="s">
        <v>4</v>
      </c>
      <c r="G253" s="4" t="n">
        <v>5</v>
      </c>
      <c r="H253" s="7" t="s">
        <v>294</v>
      </c>
      <c r="I253" s="4"/>
      <c r="J253" s="4"/>
      <c r="K253" s="4" t="n">
        <v>3350</v>
      </c>
      <c r="L253" s="4"/>
    </row>
    <row r="254" customFormat="false" ht="36" hidden="false" customHeight="true" outlineLevel="0" collapsed="false">
      <c r="A254" s="3" t="n">
        <v>46403</v>
      </c>
      <c r="B254" s="4" t="s">
        <v>26</v>
      </c>
      <c r="C254" s="8" t="s">
        <v>7</v>
      </c>
      <c r="D254" s="6" t="s">
        <v>295</v>
      </c>
      <c r="E254" s="4" t="n">
        <v>123</v>
      </c>
      <c r="F254" s="6" t="s">
        <v>9</v>
      </c>
      <c r="G254" s="4" t="n">
        <v>6</v>
      </c>
      <c r="H254" s="7" t="s">
        <v>296</v>
      </c>
      <c r="I254" s="4" t="n">
        <v>20</v>
      </c>
      <c r="J254" s="4"/>
      <c r="K254" s="4"/>
      <c r="L254" s="4" t="n">
        <v>98</v>
      </c>
    </row>
    <row r="255" customFormat="false" ht="36" hidden="false" customHeight="true" outlineLevel="0" collapsed="false">
      <c r="A255" s="3" t="n">
        <v>46404</v>
      </c>
      <c r="B255" s="4" t="s">
        <v>32</v>
      </c>
      <c r="C255" s="9" t="s">
        <v>11</v>
      </c>
      <c r="D255" s="6" t="s">
        <v>233</v>
      </c>
      <c r="E255" s="4" t="n">
        <v>279</v>
      </c>
      <c r="F255" s="6" t="s">
        <v>47</v>
      </c>
      <c r="G255" s="4" t="n">
        <v>6</v>
      </c>
      <c r="H255" s="7" t="s">
        <v>297</v>
      </c>
      <c r="I255" s="4"/>
      <c r="J255" s="4" t="n">
        <v>130</v>
      </c>
      <c r="K255" s="4"/>
      <c r="L255" s="4" t="n">
        <v>418</v>
      </c>
    </row>
    <row r="256" customFormat="false" ht="24" hidden="false" customHeight="true" outlineLevel="0" collapsed="false">
      <c r="A256" s="3" t="n">
        <v>46404</v>
      </c>
      <c r="B256" s="4" t="s">
        <v>32</v>
      </c>
      <c r="C256" s="8" t="s">
        <v>7</v>
      </c>
      <c r="D256" s="6" t="s">
        <v>298</v>
      </c>
      <c r="E256" s="4" t="n">
        <v>20</v>
      </c>
      <c r="F256" s="6" t="s">
        <v>47</v>
      </c>
      <c r="G256" s="4" t="n">
        <v>4</v>
      </c>
      <c r="H256" s="7" t="s">
        <v>299</v>
      </c>
      <c r="I256" s="4" t="n">
        <v>3.5</v>
      </c>
      <c r="J256" s="4"/>
      <c r="K256" s="4"/>
      <c r="L256" s="4"/>
    </row>
    <row r="257" customFormat="false" ht="36" hidden="false" customHeight="true" outlineLevel="0" collapsed="false">
      <c r="A257" s="3" t="n">
        <v>46404</v>
      </c>
      <c r="B257" s="4" t="s">
        <v>32</v>
      </c>
      <c r="C257" s="10" t="s">
        <v>27</v>
      </c>
      <c r="D257" s="6" t="s">
        <v>33</v>
      </c>
      <c r="E257" s="4" t="n">
        <v>61</v>
      </c>
      <c r="F257" s="6" t="s">
        <v>4</v>
      </c>
      <c r="G257" s="4" t="n">
        <v>4</v>
      </c>
      <c r="H257" s="7" t="s">
        <v>300</v>
      </c>
      <c r="I257" s="4"/>
      <c r="J257" s="4"/>
      <c r="K257" s="4" t="n">
        <v>2350</v>
      </c>
      <c r="L257" s="4"/>
    </row>
    <row r="258" customFormat="false" ht="15" hidden="false" customHeight="true" outlineLevel="0" collapsed="false">
      <c r="A258" s="11"/>
      <c r="B258" s="11"/>
      <c r="C258" s="11"/>
      <c r="D258" s="11"/>
      <c r="E258" s="11"/>
      <c r="F258" s="11"/>
      <c r="G258" s="11"/>
      <c r="H258" s="12" t="s">
        <v>35</v>
      </c>
      <c r="I258" s="11" t="n">
        <f aca="false">SUM(I245:I257)</f>
        <v>50</v>
      </c>
      <c r="J258" s="11" t="n">
        <f aca="false">SUM(J245:J257)</f>
        <v>265</v>
      </c>
      <c r="K258" s="11" t="n">
        <f aca="false">SUM(K245:K257)</f>
        <v>7800</v>
      </c>
      <c r="L258" s="11"/>
    </row>
    <row r="259" customFormat="false" ht="15" hidden="false" customHeight="true" outlineLevel="0" collapsed="false">
      <c r="A259" s="16" t="s">
        <v>301</v>
      </c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</row>
    <row r="260" customFormat="false" ht="60" hidden="false" customHeight="true" outlineLevel="0" collapsed="false">
      <c r="A260" s="3" t="n">
        <v>46405</v>
      </c>
      <c r="B260" s="4" t="s">
        <v>1</v>
      </c>
      <c r="C260" s="5" t="s">
        <v>2</v>
      </c>
      <c r="D260" s="6" t="s">
        <v>3</v>
      </c>
      <c r="E260" s="4" t="s">
        <v>4</v>
      </c>
      <c r="F260" s="6" t="s">
        <v>4</v>
      </c>
      <c r="G260" s="4" t="n">
        <v>1</v>
      </c>
      <c r="H260" s="7" t="s">
        <v>56</v>
      </c>
      <c r="I260" s="4"/>
      <c r="J260" s="4"/>
      <c r="K260" s="4"/>
      <c r="L260" s="4"/>
    </row>
    <row r="261" customFormat="false" ht="168" hidden="false" customHeight="true" outlineLevel="0" collapsed="false">
      <c r="A261" s="3" t="n">
        <v>46406</v>
      </c>
      <c r="B261" s="4" t="s">
        <v>6</v>
      </c>
      <c r="C261" s="8" t="s">
        <v>7</v>
      </c>
      <c r="D261" s="6" t="s">
        <v>302</v>
      </c>
      <c r="E261" s="4" t="n">
        <v>70</v>
      </c>
      <c r="F261" s="6" t="s">
        <v>43</v>
      </c>
      <c r="G261" s="4" t="n">
        <v>6</v>
      </c>
      <c r="H261" s="7" t="s">
        <v>303</v>
      </c>
      <c r="I261" s="4" t="n">
        <v>12</v>
      </c>
      <c r="J261" s="4"/>
      <c r="K261" s="4"/>
      <c r="L261" s="4" t="n">
        <v>75</v>
      </c>
    </row>
    <row r="262" customFormat="false" ht="24" hidden="false" customHeight="true" outlineLevel="0" collapsed="false">
      <c r="A262" s="3" t="n">
        <v>46406</v>
      </c>
      <c r="B262" s="4" t="s">
        <v>6</v>
      </c>
      <c r="C262" s="9" t="s">
        <v>11</v>
      </c>
      <c r="D262" s="6" t="s">
        <v>59</v>
      </c>
      <c r="E262" s="4" t="n">
        <v>54</v>
      </c>
      <c r="F262" s="6" t="s">
        <v>9</v>
      </c>
      <c r="G262" s="4" t="n">
        <v>2</v>
      </c>
      <c r="H262" s="7" t="s">
        <v>304</v>
      </c>
      <c r="I262" s="4"/>
      <c r="J262" s="4" t="n">
        <v>25</v>
      </c>
      <c r="K262" s="4"/>
      <c r="L262" s="4" t="n">
        <v>32</v>
      </c>
    </row>
    <row r="263" customFormat="false" ht="60" hidden="false" customHeight="true" outlineLevel="0" collapsed="false">
      <c r="A263" s="3" t="n">
        <v>46407</v>
      </c>
      <c r="B263" s="4" t="s">
        <v>14</v>
      </c>
      <c r="C263" s="9" t="s">
        <v>11</v>
      </c>
      <c r="D263" s="6" t="s">
        <v>305</v>
      </c>
      <c r="E263" s="4" t="n">
        <v>137</v>
      </c>
      <c r="F263" s="6" t="s">
        <v>43</v>
      </c>
      <c r="G263" s="4" t="n">
        <v>6</v>
      </c>
      <c r="H263" s="7" t="s">
        <v>306</v>
      </c>
      <c r="I263" s="4"/>
      <c r="J263" s="4" t="n">
        <v>64</v>
      </c>
      <c r="K263" s="4"/>
      <c r="L263" s="4" t="n">
        <v>261</v>
      </c>
    </row>
    <row r="264" customFormat="false" ht="24" hidden="false" customHeight="true" outlineLevel="0" collapsed="false">
      <c r="A264" s="3" t="n">
        <v>46408</v>
      </c>
      <c r="B264" s="4" t="s">
        <v>17</v>
      </c>
      <c r="C264" s="8" t="s">
        <v>7</v>
      </c>
      <c r="D264" s="6" t="s">
        <v>22</v>
      </c>
      <c r="E264" s="4" t="n">
        <v>71</v>
      </c>
      <c r="F264" s="6" t="s">
        <v>9</v>
      </c>
      <c r="G264" s="4" t="n">
        <v>4</v>
      </c>
      <c r="H264" s="7" t="s">
        <v>307</v>
      </c>
      <c r="I264" s="4" t="n">
        <v>11.5</v>
      </c>
      <c r="J264" s="4"/>
      <c r="K264" s="4"/>
      <c r="L264" s="4" t="n">
        <v>26</v>
      </c>
    </row>
    <row r="265" customFormat="false" ht="36" hidden="false" customHeight="true" outlineLevel="0" collapsed="false">
      <c r="A265" s="3" t="n">
        <v>46408</v>
      </c>
      <c r="B265" s="4" t="s">
        <v>17</v>
      </c>
      <c r="C265" s="10" t="s">
        <v>27</v>
      </c>
      <c r="D265" s="6" t="s">
        <v>277</v>
      </c>
      <c r="E265" s="4" t="n">
        <v>67</v>
      </c>
      <c r="F265" s="6" t="s">
        <v>4</v>
      </c>
      <c r="G265" s="4" t="n">
        <v>2</v>
      </c>
      <c r="H265" s="7" t="s">
        <v>308</v>
      </c>
      <c r="I265" s="4"/>
      <c r="J265" s="4"/>
      <c r="K265" s="4" t="n">
        <v>2250</v>
      </c>
      <c r="L265" s="4"/>
    </row>
    <row r="266" customFormat="false" ht="24" hidden="false" customHeight="true" outlineLevel="0" collapsed="false">
      <c r="A266" s="3" t="n">
        <v>46409</v>
      </c>
      <c r="B266" s="4" t="s">
        <v>21</v>
      </c>
      <c r="C266" s="8" t="s">
        <v>7</v>
      </c>
      <c r="D266" s="6" t="s">
        <v>22</v>
      </c>
      <c r="E266" s="4" t="n">
        <v>33</v>
      </c>
      <c r="F266" s="6" t="s">
        <v>19</v>
      </c>
      <c r="G266" s="4" t="n">
        <v>2</v>
      </c>
      <c r="H266" s="7" t="s">
        <v>266</v>
      </c>
      <c r="I266" s="4" t="n">
        <v>5</v>
      </c>
      <c r="J266" s="4"/>
      <c r="K266" s="4"/>
      <c r="L266" s="4" t="n">
        <v>20</v>
      </c>
    </row>
    <row r="267" customFormat="false" ht="48" hidden="false" customHeight="true" outlineLevel="0" collapsed="false">
      <c r="A267" s="3" t="n">
        <v>46409</v>
      </c>
      <c r="B267" s="4" t="s">
        <v>21</v>
      </c>
      <c r="C267" s="9" t="s">
        <v>11</v>
      </c>
      <c r="D267" s="6" t="s">
        <v>65</v>
      </c>
      <c r="E267" s="4" t="n">
        <v>114</v>
      </c>
      <c r="F267" s="6" t="s">
        <v>47</v>
      </c>
      <c r="G267" s="4" t="n">
        <v>5</v>
      </c>
      <c r="H267" s="7" t="s">
        <v>309</v>
      </c>
      <c r="I267" s="4"/>
      <c r="J267" s="4" t="n">
        <v>53</v>
      </c>
      <c r="K267" s="4"/>
      <c r="L267" s="4" t="n">
        <v>154</v>
      </c>
    </row>
    <row r="268" customFormat="false" ht="48" hidden="false" customHeight="true" outlineLevel="0" collapsed="false">
      <c r="A268" s="3" t="n">
        <v>46410</v>
      </c>
      <c r="B268" s="4" t="s">
        <v>26</v>
      </c>
      <c r="C268" s="10" t="s">
        <v>27</v>
      </c>
      <c r="D268" s="6" t="s">
        <v>103</v>
      </c>
      <c r="E268" s="4" t="n">
        <v>98</v>
      </c>
      <c r="F268" s="6" t="s">
        <v>4</v>
      </c>
      <c r="G268" s="4" t="n">
        <v>5</v>
      </c>
      <c r="H268" s="7" t="s">
        <v>310</v>
      </c>
      <c r="I268" s="4"/>
      <c r="J268" s="4"/>
      <c r="K268" s="4" t="n">
        <v>3550</v>
      </c>
      <c r="L268" s="4"/>
    </row>
    <row r="269" customFormat="false" ht="36" hidden="false" customHeight="true" outlineLevel="0" collapsed="false">
      <c r="A269" s="3" t="n">
        <v>46410</v>
      </c>
      <c r="B269" s="4" t="s">
        <v>26</v>
      </c>
      <c r="C269" s="8" t="s">
        <v>7</v>
      </c>
      <c r="D269" s="6" t="s">
        <v>311</v>
      </c>
      <c r="E269" s="4" t="n">
        <v>130</v>
      </c>
      <c r="F269" s="6" t="s">
        <v>47</v>
      </c>
      <c r="G269" s="4" t="n">
        <v>6</v>
      </c>
      <c r="H269" s="7" t="s">
        <v>312</v>
      </c>
      <c r="I269" s="4" t="n">
        <v>21</v>
      </c>
      <c r="J269" s="4"/>
      <c r="K269" s="4"/>
      <c r="L269" s="4" t="n">
        <v>104</v>
      </c>
    </row>
    <row r="270" customFormat="false" ht="36" hidden="false" customHeight="true" outlineLevel="0" collapsed="false">
      <c r="A270" s="3" t="n">
        <v>46411</v>
      </c>
      <c r="B270" s="4" t="s">
        <v>32</v>
      </c>
      <c r="C270" s="9" t="s">
        <v>11</v>
      </c>
      <c r="D270" s="6" t="s">
        <v>313</v>
      </c>
      <c r="E270" s="4" t="n">
        <v>296</v>
      </c>
      <c r="F270" s="6" t="s">
        <v>47</v>
      </c>
      <c r="G270" s="4" t="n">
        <v>6</v>
      </c>
      <c r="H270" s="7" t="s">
        <v>314</v>
      </c>
      <c r="I270" s="4"/>
      <c r="J270" s="4" t="n">
        <v>138</v>
      </c>
      <c r="K270" s="4"/>
      <c r="L270" s="4" t="n">
        <v>444</v>
      </c>
    </row>
    <row r="271" customFormat="false" ht="24" hidden="false" customHeight="true" outlineLevel="0" collapsed="false">
      <c r="A271" s="3" t="n">
        <v>46411</v>
      </c>
      <c r="B271" s="4" t="s">
        <v>32</v>
      </c>
      <c r="C271" s="8" t="s">
        <v>7</v>
      </c>
      <c r="D271" s="6" t="s">
        <v>298</v>
      </c>
      <c r="E271" s="4" t="n">
        <v>20</v>
      </c>
      <c r="F271" s="6" t="s">
        <v>47</v>
      </c>
      <c r="G271" s="4" t="n">
        <v>4</v>
      </c>
      <c r="H271" s="7" t="s">
        <v>299</v>
      </c>
      <c r="I271" s="4" t="n">
        <v>3.5</v>
      </c>
      <c r="J271" s="4"/>
      <c r="K271" s="4"/>
      <c r="L271" s="4"/>
    </row>
    <row r="272" customFormat="false" ht="36" hidden="false" customHeight="true" outlineLevel="0" collapsed="false">
      <c r="A272" s="3" t="n">
        <v>46411</v>
      </c>
      <c r="B272" s="4" t="s">
        <v>32</v>
      </c>
      <c r="C272" s="10" t="s">
        <v>27</v>
      </c>
      <c r="D272" s="6" t="s">
        <v>166</v>
      </c>
      <c r="E272" s="4" t="n">
        <v>66</v>
      </c>
      <c r="F272" s="6" t="s">
        <v>4</v>
      </c>
      <c r="G272" s="4" t="n">
        <v>6</v>
      </c>
      <c r="H272" s="7" t="s">
        <v>315</v>
      </c>
      <c r="I272" s="4"/>
      <c r="J272" s="4"/>
      <c r="K272" s="4" t="n">
        <v>2500</v>
      </c>
      <c r="L272" s="4"/>
    </row>
    <row r="273" customFormat="false" ht="15" hidden="false" customHeight="true" outlineLevel="0" collapsed="false">
      <c r="A273" s="11"/>
      <c r="B273" s="11"/>
      <c r="C273" s="11"/>
      <c r="D273" s="11"/>
      <c r="E273" s="11"/>
      <c r="F273" s="11"/>
      <c r="G273" s="11"/>
      <c r="H273" s="12" t="s">
        <v>35</v>
      </c>
      <c r="I273" s="11" t="n">
        <f aca="false">SUM(I260:I272)</f>
        <v>53</v>
      </c>
      <c r="J273" s="11" t="n">
        <f aca="false">SUM(J260:J272)</f>
        <v>280</v>
      </c>
      <c r="K273" s="11" t="n">
        <f aca="false">SUM(K260:K272)</f>
        <v>8300</v>
      </c>
      <c r="L273" s="11"/>
    </row>
    <row r="274" customFormat="false" ht="15" hidden="false" customHeight="true" outlineLevel="0" collapsed="false">
      <c r="A274" s="14" t="s">
        <v>316</v>
      </c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</row>
    <row r="275" customFormat="false" ht="36" hidden="false" customHeight="true" outlineLevel="0" collapsed="false">
      <c r="A275" s="3" t="n">
        <v>46412</v>
      </c>
      <c r="B275" s="4" t="s">
        <v>1</v>
      </c>
      <c r="C275" s="5" t="s">
        <v>2</v>
      </c>
      <c r="D275" s="6" t="s">
        <v>3</v>
      </c>
      <c r="E275" s="4" t="s">
        <v>4</v>
      </c>
      <c r="F275" s="6" t="s">
        <v>4</v>
      </c>
      <c r="G275" s="4" t="n">
        <v>1</v>
      </c>
      <c r="H275" s="7" t="s">
        <v>56</v>
      </c>
      <c r="I275" s="4"/>
      <c r="J275" s="4"/>
      <c r="K275" s="4"/>
      <c r="L275" s="4"/>
    </row>
    <row r="276" customFormat="false" ht="108" hidden="false" customHeight="true" outlineLevel="0" collapsed="false">
      <c r="A276" s="3" t="n">
        <v>46413</v>
      </c>
      <c r="B276" s="4" t="s">
        <v>6</v>
      </c>
      <c r="C276" s="8" t="s">
        <v>7</v>
      </c>
      <c r="D276" s="6" t="s">
        <v>317</v>
      </c>
      <c r="E276" s="4" t="n">
        <v>46</v>
      </c>
      <c r="F276" s="6" t="s">
        <v>43</v>
      </c>
      <c r="G276" s="4" t="n">
        <v>6</v>
      </c>
      <c r="H276" s="7" t="s">
        <v>318</v>
      </c>
      <c r="I276" s="4" t="n">
        <v>8</v>
      </c>
      <c r="J276" s="4"/>
      <c r="K276" s="4"/>
      <c r="L276" s="4" t="n">
        <v>48</v>
      </c>
    </row>
    <row r="277" customFormat="false" ht="24" hidden="false" customHeight="true" outlineLevel="0" collapsed="false">
      <c r="A277" s="3" t="n">
        <v>46413</v>
      </c>
      <c r="B277" s="4" t="s">
        <v>6</v>
      </c>
      <c r="C277" s="9" t="s">
        <v>11</v>
      </c>
      <c r="D277" s="6" t="s">
        <v>59</v>
      </c>
      <c r="E277" s="4" t="n">
        <v>39</v>
      </c>
      <c r="F277" s="6" t="s">
        <v>9</v>
      </c>
      <c r="G277" s="4" t="n">
        <v>2</v>
      </c>
      <c r="H277" s="7" t="s">
        <v>319</v>
      </c>
      <c r="I277" s="4"/>
      <c r="J277" s="4" t="n">
        <v>18</v>
      </c>
      <c r="K277" s="4"/>
      <c r="L277" s="4" t="n">
        <v>23</v>
      </c>
    </row>
    <row r="278" customFormat="false" ht="60" hidden="false" customHeight="true" outlineLevel="0" collapsed="false">
      <c r="A278" s="3" t="n">
        <v>46414</v>
      </c>
      <c r="B278" s="4" t="s">
        <v>14</v>
      </c>
      <c r="C278" s="9" t="s">
        <v>11</v>
      </c>
      <c r="D278" s="6" t="s">
        <v>320</v>
      </c>
      <c r="E278" s="4" t="n">
        <v>90</v>
      </c>
      <c r="F278" s="6" t="s">
        <v>43</v>
      </c>
      <c r="G278" s="4" t="n">
        <v>5</v>
      </c>
      <c r="H278" s="7" t="s">
        <v>321</v>
      </c>
      <c r="I278" s="4"/>
      <c r="J278" s="4" t="n">
        <v>42</v>
      </c>
      <c r="K278" s="4"/>
      <c r="L278" s="4" t="n">
        <v>173</v>
      </c>
    </row>
    <row r="279" customFormat="false" ht="24" hidden="false" customHeight="true" outlineLevel="0" collapsed="false">
      <c r="A279" s="3" t="n">
        <v>46415</v>
      </c>
      <c r="B279" s="4" t="s">
        <v>17</v>
      </c>
      <c r="C279" s="8" t="s">
        <v>7</v>
      </c>
      <c r="D279" s="6" t="s">
        <v>18</v>
      </c>
      <c r="E279" s="4" t="n">
        <v>46</v>
      </c>
      <c r="F279" s="6" t="s">
        <v>19</v>
      </c>
      <c r="G279" s="4" t="n">
        <v>2</v>
      </c>
      <c r="H279" s="7" t="s">
        <v>322</v>
      </c>
      <c r="I279" s="4" t="n">
        <v>7.5</v>
      </c>
      <c r="J279" s="4"/>
      <c r="K279" s="4"/>
      <c r="L279" s="4" t="n">
        <v>26</v>
      </c>
    </row>
    <row r="280" customFormat="false" ht="36" hidden="false" customHeight="true" outlineLevel="0" collapsed="false">
      <c r="A280" s="3" t="n">
        <v>46415</v>
      </c>
      <c r="B280" s="4" t="s">
        <v>17</v>
      </c>
      <c r="C280" s="10" t="s">
        <v>27</v>
      </c>
      <c r="D280" s="6" t="s">
        <v>277</v>
      </c>
      <c r="E280" s="4" t="n">
        <v>71</v>
      </c>
      <c r="F280" s="6" t="s">
        <v>4</v>
      </c>
      <c r="G280" s="4" t="n">
        <v>2</v>
      </c>
      <c r="H280" s="7" t="s">
        <v>323</v>
      </c>
      <c r="I280" s="4"/>
      <c r="J280" s="4"/>
      <c r="K280" s="4" t="n">
        <v>2400</v>
      </c>
      <c r="L280" s="4"/>
    </row>
    <row r="281" customFormat="false" ht="24" hidden="false" customHeight="true" outlineLevel="0" collapsed="false">
      <c r="A281" s="3" t="n">
        <v>46416</v>
      </c>
      <c r="B281" s="4" t="s">
        <v>21</v>
      </c>
      <c r="C281" s="8" t="s">
        <v>7</v>
      </c>
      <c r="D281" s="6" t="s">
        <v>22</v>
      </c>
      <c r="E281" s="4" t="n">
        <v>27</v>
      </c>
      <c r="F281" s="6" t="s">
        <v>19</v>
      </c>
      <c r="G281" s="4" t="n">
        <v>2</v>
      </c>
      <c r="H281" s="7" t="s">
        <v>159</v>
      </c>
      <c r="I281" s="4" t="n">
        <v>4</v>
      </c>
      <c r="J281" s="4"/>
      <c r="K281" s="4"/>
      <c r="L281" s="4" t="n">
        <v>20</v>
      </c>
    </row>
    <row r="282" customFormat="false" ht="48" hidden="false" customHeight="true" outlineLevel="0" collapsed="false">
      <c r="A282" s="3" t="n">
        <v>46416</v>
      </c>
      <c r="B282" s="4" t="s">
        <v>21</v>
      </c>
      <c r="C282" s="9" t="s">
        <v>11</v>
      </c>
      <c r="D282" s="6" t="s">
        <v>46</v>
      </c>
      <c r="E282" s="4" t="n">
        <v>75</v>
      </c>
      <c r="F282" s="6" t="s">
        <v>47</v>
      </c>
      <c r="G282" s="4" t="n">
        <v>3</v>
      </c>
      <c r="H282" s="7" t="s">
        <v>324</v>
      </c>
      <c r="I282" s="4"/>
      <c r="J282" s="4" t="n">
        <v>35</v>
      </c>
      <c r="K282" s="4"/>
      <c r="L282" s="4" t="n">
        <v>101</v>
      </c>
    </row>
    <row r="283" customFormat="false" ht="48" hidden="false" customHeight="true" outlineLevel="0" collapsed="false">
      <c r="A283" s="3" t="n">
        <v>46417</v>
      </c>
      <c r="B283" s="4" t="s">
        <v>26</v>
      </c>
      <c r="C283" s="10" t="s">
        <v>27</v>
      </c>
      <c r="D283" s="6" t="s">
        <v>103</v>
      </c>
      <c r="E283" s="4" t="n">
        <v>86</v>
      </c>
      <c r="F283" s="6" t="s">
        <v>4</v>
      </c>
      <c r="G283" s="4" t="n">
        <v>5</v>
      </c>
      <c r="H283" s="7" t="s">
        <v>325</v>
      </c>
      <c r="I283" s="4"/>
      <c r="J283" s="4"/>
      <c r="K283" s="4" t="n">
        <v>3000</v>
      </c>
      <c r="L283" s="4"/>
    </row>
    <row r="284" customFormat="false" ht="24" hidden="false" customHeight="true" outlineLevel="0" collapsed="false">
      <c r="A284" s="3" t="n">
        <v>46417</v>
      </c>
      <c r="B284" s="4" t="s">
        <v>26</v>
      </c>
      <c r="C284" s="8" t="s">
        <v>7</v>
      </c>
      <c r="D284" s="6" t="s">
        <v>177</v>
      </c>
      <c r="E284" s="4" t="n">
        <v>86</v>
      </c>
      <c r="F284" s="6" t="s">
        <v>9</v>
      </c>
      <c r="G284" s="4" t="n">
        <v>6</v>
      </c>
      <c r="H284" s="7" t="s">
        <v>326</v>
      </c>
      <c r="I284" s="4" t="n">
        <v>14</v>
      </c>
      <c r="J284" s="4"/>
      <c r="K284" s="4"/>
      <c r="L284" s="4" t="n">
        <v>69</v>
      </c>
    </row>
    <row r="285" customFormat="false" ht="48" hidden="false" customHeight="true" outlineLevel="0" collapsed="false">
      <c r="A285" s="3" t="n">
        <v>46418</v>
      </c>
      <c r="B285" s="4" t="s">
        <v>32</v>
      </c>
      <c r="C285" s="9" t="s">
        <v>11</v>
      </c>
      <c r="D285" s="6" t="s">
        <v>327</v>
      </c>
      <c r="E285" s="4" t="n">
        <v>193</v>
      </c>
      <c r="F285" s="6" t="s">
        <v>47</v>
      </c>
      <c r="G285" s="4" t="n">
        <v>4</v>
      </c>
      <c r="H285" s="7" t="s">
        <v>328</v>
      </c>
      <c r="I285" s="4"/>
      <c r="J285" s="4" t="n">
        <v>90</v>
      </c>
      <c r="K285" s="4"/>
      <c r="L285" s="4" t="n">
        <v>290</v>
      </c>
    </row>
    <row r="286" customFormat="false" ht="24" hidden="false" customHeight="true" outlineLevel="0" collapsed="false">
      <c r="A286" s="3" t="n">
        <v>46418</v>
      </c>
      <c r="B286" s="4" t="s">
        <v>32</v>
      </c>
      <c r="C286" s="8" t="s">
        <v>7</v>
      </c>
      <c r="D286" s="6" t="s">
        <v>285</v>
      </c>
      <c r="E286" s="4" t="n">
        <v>15</v>
      </c>
      <c r="F286" s="6" t="s">
        <v>47</v>
      </c>
      <c r="G286" s="4" t="n">
        <v>4</v>
      </c>
      <c r="H286" s="7" t="s">
        <v>286</v>
      </c>
      <c r="I286" s="4" t="n">
        <v>2.5</v>
      </c>
      <c r="J286" s="4"/>
      <c r="K286" s="4"/>
      <c r="L286" s="4"/>
    </row>
    <row r="287" customFormat="false" ht="15" hidden="false" customHeight="true" outlineLevel="0" collapsed="false">
      <c r="A287" s="11"/>
      <c r="B287" s="11"/>
      <c r="C287" s="11"/>
      <c r="D287" s="11"/>
      <c r="E287" s="11"/>
      <c r="F287" s="11"/>
      <c r="G287" s="11"/>
      <c r="H287" s="12" t="s">
        <v>35</v>
      </c>
      <c r="I287" s="11" t="n">
        <f aca="false">SUM(I275:I286)</f>
        <v>36</v>
      </c>
      <c r="J287" s="11" t="n">
        <f aca="false">SUM(J275:J286)</f>
        <v>185</v>
      </c>
      <c r="K287" s="11" t="n">
        <f aca="false">SUM(K275:K286)</f>
        <v>5400</v>
      </c>
      <c r="L287" s="11"/>
    </row>
    <row r="288" customFormat="false" ht="15" hidden="false" customHeight="true" outlineLevel="0" collapsed="false">
      <c r="A288" s="16" t="s">
        <v>329</v>
      </c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</row>
    <row r="289" customFormat="false" ht="48" hidden="false" customHeight="true" outlineLevel="0" collapsed="false">
      <c r="A289" s="3" t="n">
        <v>46419</v>
      </c>
      <c r="B289" s="19" t="s">
        <v>1</v>
      </c>
      <c r="C289" s="19" t="s">
        <v>2</v>
      </c>
      <c r="D289" s="19" t="s">
        <v>3</v>
      </c>
      <c r="E289" s="19" t="s">
        <v>4</v>
      </c>
      <c r="F289" s="19"/>
      <c r="G289" s="19"/>
      <c r="H289" s="19"/>
      <c r="I289" s="19"/>
      <c r="J289" s="19"/>
      <c r="K289" s="19"/>
    </row>
    <row r="290" customFormat="false" ht="108" hidden="false" customHeight="true" outlineLevel="0" collapsed="false">
      <c r="A290" s="3" t="n">
        <v>46420</v>
      </c>
      <c r="B290" s="4" t="s">
        <v>6</v>
      </c>
      <c r="C290" s="8" t="s">
        <v>7</v>
      </c>
      <c r="D290" s="6" t="s">
        <v>330</v>
      </c>
      <c r="E290" s="4" t="n">
        <v>66</v>
      </c>
      <c r="F290" s="6" t="s">
        <v>39</v>
      </c>
      <c r="G290" s="4" t="n">
        <v>7</v>
      </c>
      <c r="H290" s="7" t="s">
        <v>331</v>
      </c>
      <c r="I290" s="4" t="n">
        <v>12.5</v>
      </c>
      <c r="J290" s="4"/>
      <c r="K290" s="4"/>
      <c r="L290" s="4" t="n">
        <v>75</v>
      </c>
    </row>
    <row r="291" customFormat="false" ht="24" hidden="false" customHeight="true" outlineLevel="0" collapsed="false">
      <c r="A291" s="3" t="n">
        <v>46420</v>
      </c>
      <c r="B291" s="4" t="s">
        <v>6</v>
      </c>
      <c r="C291" s="9" t="s">
        <v>11</v>
      </c>
      <c r="D291" s="6" t="s">
        <v>59</v>
      </c>
      <c r="E291" s="4" t="n">
        <v>54</v>
      </c>
      <c r="F291" s="6" t="s">
        <v>9</v>
      </c>
      <c r="G291" s="4" t="n">
        <v>2</v>
      </c>
      <c r="H291" s="7" t="s">
        <v>304</v>
      </c>
      <c r="I291" s="4"/>
      <c r="J291" s="4" t="n">
        <v>25</v>
      </c>
      <c r="K291" s="4"/>
      <c r="L291" s="4" t="n">
        <v>32</v>
      </c>
    </row>
    <row r="292" customFormat="false" ht="60" hidden="false" customHeight="true" outlineLevel="0" collapsed="false">
      <c r="A292" s="3" t="n">
        <v>46421</v>
      </c>
      <c r="B292" s="4" t="s">
        <v>14</v>
      </c>
      <c r="C292" s="9" t="s">
        <v>11</v>
      </c>
      <c r="D292" s="6" t="s">
        <v>332</v>
      </c>
      <c r="E292" s="4" t="n">
        <v>141</v>
      </c>
      <c r="F292" s="6" t="s">
        <v>172</v>
      </c>
      <c r="G292" s="4" t="n">
        <v>8</v>
      </c>
      <c r="H292" s="7" t="s">
        <v>333</v>
      </c>
      <c r="I292" s="4"/>
      <c r="J292" s="4" t="n">
        <v>66</v>
      </c>
      <c r="K292" s="4"/>
      <c r="L292" s="4" t="n">
        <v>270</v>
      </c>
    </row>
    <row r="293" customFormat="false" ht="24" hidden="false" customHeight="true" outlineLevel="0" collapsed="false">
      <c r="A293" s="3" t="n">
        <v>46422</v>
      </c>
      <c r="B293" s="4" t="s">
        <v>17</v>
      </c>
      <c r="C293" s="8" t="s">
        <v>7</v>
      </c>
      <c r="D293" s="6" t="s">
        <v>22</v>
      </c>
      <c r="E293" s="4" t="n">
        <v>74</v>
      </c>
      <c r="F293" s="6" t="s">
        <v>9</v>
      </c>
      <c r="G293" s="4" t="n">
        <v>4</v>
      </c>
      <c r="H293" s="7" t="s">
        <v>334</v>
      </c>
      <c r="I293" s="4" t="n">
        <v>12</v>
      </c>
      <c r="J293" s="4"/>
      <c r="K293" s="4"/>
      <c r="L293" s="4" t="n">
        <v>26</v>
      </c>
    </row>
    <row r="294" customFormat="false" ht="36" hidden="false" customHeight="true" outlineLevel="0" collapsed="false">
      <c r="A294" s="3" t="n">
        <v>46422</v>
      </c>
      <c r="B294" s="4" t="s">
        <v>17</v>
      </c>
      <c r="C294" s="10" t="s">
        <v>27</v>
      </c>
      <c r="D294" s="6" t="s">
        <v>277</v>
      </c>
      <c r="E294" s="4" t="n">
        <v>67</v>
      </c>
      <c r="F294" s="6" t="s">
        <v>4</v>
      </c>
      <c r="G294" s="4" t="n">
        <v>2</v>
      </c>
      <c r="H294" s="7" t="s">
        <v>308</v>
      </c>
      <c r="I294" s="4"/>
      <c r="J294" s="4"/>
      <c r="K294" s="4" t="n">
        <v>2250</v>
      </c>
      <c r="L294" s="4"/>
    </row>
    <row r="295" customFormat="false" ht="24" hidden="false" customHeight="true" outlineLevel="0" collapsed="false">
      <c r="A295" s="3" t="n">
        <v>46423</v>
      </c>
      <c r="B295" s="4" t="s">
        <v>21</v>
      </c>
      <c r="C295" s="8" t="s">
        <v>7</v>
      </c>
      <c r="D295" s="6" t="s">
        <v>22</v>
      </c>
      <c r="E295" s="4" t="n">
        <v>33</v>
      </c>
      <c r="F295" s="6" t="s">
        <v>19</v>
      </c>
      <c r="G295" s="4" t="n">
        <v>2</v>
      </c>
      <c r="H295" s="7" t="s">
        <v>266</v>
      </c>
      <c r="I295" s="4" t="n">
        <v>5</v>
      </c>
      <c r="J295" s="4"/>
      <c r="K295" s="4"/>
      <c r="L295" s="4" t="n">
        <v>20</v>
      </c>
    </row>
    <row r="296" customFormat="false" ht="48" hidden="false" customHeight="true" outlineLevel="0" collapsed="false">
      <c r="A296" s="3" t="n">
        <v>46423</v>
      </c>
      <c r="B296" s="4" t="s">
        <v>21</v>
      </c>
      <c r="C296" s="9" t="s">
        <v>11</v>
      </c>
      <c r="D296" s="6" t="s">
        <v>65</v>
      </c>
      <c r="E296" s="4" t="n">
        <v>116</v>
      </c>
      <c r="F296" s="6" t="s">
        <v>47</v>
      </c>
      <c r="G296" s="4" t="n">
        <v>5</v>
      </c>
      <c r="H296" s="7" t="s">
        <v>335</v>
      </c>
      <c r="I296" s="4"/>
      <c r="J296" s="4" t="n">
        <v>54</v>
      </c>
      <c r="K296" s="4"/>
      <c r="L296" s="4" t="n">
        <v>157</v>
      </c>
    </row>
    <row r="297" customFormat="false" ht="48" hidden="false" customHeight="true" outlineLevel="0" collapsed="false">
      <c r="A297" s="3" t="n">
        <v>46424</v>
      </c>
      <c r="B297" s="4" t="s">
        <v>26</v>
      </c>
      <c r="C297" s="10" t="s">
        <v>27</v>
      </c>
      <c r="D297" s="6" t="s">
        <v>103</v>
      </c>
      <c r="E297" s="4" t="n">
        <v>99</v>
      </c>
      <c r="F297" s="6" t="s">
        <v>4</v>
      </c>
      <c r="G297" s="4" t="n">
        <v>5</v>
      </c>
      <c r="H297" s="7" t="s">
        <v>336</v>
      </c>
      <c r="I297" s="4"/>
      <c r="J297" s="4"/>
      <c r="K297" s="4" t="n">
        <v>3600</v>
      </c>
      <c r="L297" s="4"/>
    </row>
    <row r="298" customFormat="false" ht="36" hidden="false" customHeight="true" outlineLevel="0" collapsed="false">
      <c r="A298" s="3" t="n">
        <v>46424</v>
      </c>
      <c r="B298" s="4" t="s">
        <v>26</v>
      </c>
      <c r="C298" s="8" t="s">
        <v>7</v>
      </c>
      <c r="D298" s="6" t="s">
        <v>337</v>
      </c>
      <c r="E298" s="4" t="n">
        <v>136</v>
      </c>
      <c r="F298" s="6" t="s">
        <v>47</v>
      </c>
      <c r="G298" s="4" t="n">
        <v>6</v>
      </c>
      <c r="H298" s="7" t="s">
        <v>338</v>
      </c>
      <c r="I298" s="4" t="n">
        <v>22</v>
      </c>
      <c r="J298" s="4"/>
      <c r="K298" s="4"/>
      <c r="L298" s="4" t="n">
        <v>109</v>
      </c>
    </row>
    <row r="299" customFormat="false" ht="36" hidden="false" customHeight="true" outlineLevel="0" collapsed="false">
      <c r="A299" s="3" t="n">
        <v>46425</v>
      </c>
      <c r="B299" s="4" t="s">
        <v>32</v>
      </c>
      <c r="C299" s="9" t="s">
        <v>11</v>
      </c>
      <c r="D299" s="6" t="s">
        <v>339</v>
      </c>
      <c r="E299" s="4" t="n">
        <v>300</v>
      </c>
      <c r="F299" s="6" t="s">
        <v>47</v>
      </c>
      <c r="G299" s="4" t="n">
        <v>6</v>
      </c>
      <c r="H299" s="7" t="s">
        <v>340</v>
      </c>
      <c r="I299" s="4"/>
      <c r="J299" s="4" t="n">
        <v>140</v>
      </c>
      <c r="K299" s="4"/>
      <c r="L299" s="4" t="n">
        <v>450</v>
      </c>
    </row>
    <row r="300" customFormat="false" ht="24" hidden="false" customHeight="true" outlineLevel="0" collapsed="false">
      <c r="A300" s="3" t="n">
        <v>46425</v>
      </c>
      <c r="B300" s="4" t="s">
        <v>32</v>
      </c>
      <c r="C300" s="8" t="s">
        <v>7</v>
      </c>
      <c r="D300" s="6" t="s">
        <v>298</v>
      </c>
      <c r="E300" s="4" t="n">
        <v>20</v>
      </c>
      <c r="F300" s="6" t="s">
        <v>47</v>
      </c>
      <c r="G300" s="4" t="n">
        <v>4</v>
      </c>
      <c r="H300" s="7" t="s">
        <v>299</v>
      </c>
      <c r="I300" s="4" t="n">
        <v>3.5</v>
      </c>
      <c r="J300" s="4"/>
      <c r="K300" s="4"/>
      <c r="L300" s="4"/>
    </row>
    <row r="301" customFormat="false" ht="36" hidden="false" customHeight="true" outlineLevel="0" collapsed="false">
      <c r="A301" s="3" t="n">
        <v>46425</v>
      </c>
      <c r="B301" s="4" t="s">
        <v>32</v>
      </c>
      <c r="C301" s="10" t="s">
        <v>27</v>
      </c>
      <c r="D301" s="6" t="s">
        <v>33</v>
      </c>
      <c r="E301" s="4" t="n">
        <v>66</v>
      </c>
      <c r="F301" s="6" t="s">
        <v>4</v>
      </c>
      <c r="G301" s="4" t="n">
        <v>4</v>
      </c>
      <c r="H301" s="7" t="s">
        <v>341</v>
      </c>
      <c r="I301" s="4"/>
      <c r="J301" s="4"/>
      <c r="K301" s="4" t="n">
        <v>2550</v>
      </c>
      <c r="L301" s="4"/>
    </row>
    <row r="302" customFormat="false" ht="15" hidden="false" customHeight="true" outlineLevel="0" collapsed="false">
      <c r="A302" s="11"/>
      <c r="B302" s="11"/>
      <c r="C302" s="11"/>
      <c r="D302" s="11"/>
      <c r="E302" s="11"/>
      <c r="F302" s="11"/>
      <c r="G302" s="11"/>
      <c r="H302" s="12" t="s">
        <v>35</v>
      </c>
      <c r="I302" s="11" t="n">
        <f aca="false">SUM(I289:I301)</f>
        <v>55</v>
      </c>
      <c r="J302" s="11" t="n">
        <f aca="false">SUM(J289:J301)</f>
        <v>285</v>
      </c>
      <c r="K302" s="11" t="n">
        <f aca="false">SUM(K289:K301)</f>
        <v>8400</v>
      </c>
      <c r="L302" s="11"/>
    </row>
    <row r="303" customFormat="false" ht="15" hidden="false" customHeight="true" outlineLevel="0" collapsed="false">
      <c r="A303" s="16" t="s">
        <v>342</v>
      </c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</row>
    <row r="304" customFormat="false" ht="24" hidden="false" customHeight="true" outlineLevel="0" collapsed="false">
      <c r="A304" s="3" t="n">
        <v>46426</v>
      </c>
      <c r="B304" s="4" t="s">
        <v>1</v>
      </c>
      <c r="C304" s="5" t="s">
        <v>2</v>
      </c>
      <c r="D304" s="6" t="s">
        <v>3</v>
      </c>
      <c r="E304" s="4" t="s">
        <v>4</v>
      </c>
      <c r="F304" s="6" t="s">
        <v>4</v>
      </c>
      <c r="G304" s="4" t="n">
        <v>1</v>
      </c>
      <c r="H304" s="7" t="s">
        <v>56</v>
      </c>
      <c r="I304" s="4"/>
      <c r="J304" s="4"/>
      <c r="K304" s="4"/>
      <c r="L304" s="4"/>
    </row>
    <row r="305" customFormat="false" ht="96" hidden="false" customHeight="true" outlineLevel="0" collapsed="false">
      <c r="A305" s="3" t="n">
        <v>46427</v>
      </c>
      <c r="B305" s="4" t="s">
        <v>6</v>
      </c>
      <c r="C305" s="8" t="s">
        <v>7</v>
      </c>
      <c r="D305" s="6" t="s">
        <v>343</v>
      </c>
      <c r="E305" s="4" t="n">
        <v>81</v>
      </c>
      <c r="F305" s="6" t="s">
        <v>39</v>
      </c>
      <c r="G305" s="4" t="n">
        <v>7</v>
      </c>
      <c r="H305" s="7" t="s">
        <v>344</v>
      </c>
      <c r="I305" s="4" t="n">
        <v>15.5</v>
      </c>
      <c r="J305" s="4"/>
      <c r="K305" s="4"/>
      <c r="L305" s="4" t="n">
        <v>72</v>
      </c>
    </row>
    <row r="306" customFormat="false" ht="24" hidden="false" customHeight="true" outlineLevel="0" collapsed="false">
      <c r="A306" s="3" t="n">
        <v>46427</v>
      </c>
      <c r="B306" s="4" t="s">
        <v>6</v>
      </c>
      <c r="C306" s="9" t="s">
        <v>11</v>
      </c>
      <c r="D306" s="6" t="s">
        <v>59</v>
      </c>
      <c r="E306" s="4" t="n">
        <v>56</v>
      </c>
      <c r="F306" s="6" t="s">
        <v>9</v>
      </c>
      <c r="G306" s="4" t="n">
        <v>2</v>
      </c>
      <c r="H306" s="7" t="s">
        <v>345</v>
      </c>
      <c r="I306" s="4"/>
      <c r="J306" s="4" t="n">
        <v>26</v>
      </c>
      <c r="K306" s="4"/>
      <c r="L306" s="4" t="n">
        <v>34</v>
      </c>
    </row>
    <row r="307" customFormat="false" ht="36" hidden="false" customHeight="true" outlineLevel="0" collapsed="false">
      <c r="A307" s="3" t="n">
        <v>46428</v>
      </c>
      <c r="B307" s="4" t="s">
        <v>14</v>
      </c>
      <c r="C307" s="10" t="s">
        <v>27</v>
      </c>
      <c r="D307" s="6" t="s">
        <v>346</v>
      </c>
      <c r="E307" s="4" t="n">
        <v>65</v>
      </c>
      <c r="F307" s="6" t="s">
        <v>4</v>
      </c>
      <c r="G307" s="4" t="n">
        <v>4</v>
      </c>
      <c r="H307" s="7" t="s">
        <v>347</v>
      </c>
      <c r="I307" s="4"/>
      <c r="J307" s="4"/>
      <c r="K307" s="4" t="n">
        <v>2500</v>
      </c>
      <c r="L307" s="4"/>
    </row>
    <row r="308" customFormat="false" ht="60" hidden="false" customHeight="true" outlineLevel="0" collapsed="false">
      <c r="A308" s="3" t="n">
        <v>46428</v>
      </c>
      <c r="B308" s="4" t="s">
        <v>14</v>
      </c>
      <c r="C308" s="9" t="s">
        <v>11</v>
      </c>
      <c r="D308" s="6" t="s">
        <v>348</v>
      </c>
      <c r="E308" s="4" t="n">
        <v>150</v>
      </c>
      <c r="F308" s="6" t="s">
        <v>127</v>
      </c>
      <c r="G308" s="4" t="n">
        <v>8</v>
      </c>
      <c r="H308" s="7" t="s">
        <v>349</v>
      </c>
      <c r="I308" s="4"/>
      <c r="J308" s="4" t="n">
        <v>70</v>
      </c>
      <c r="K308" s="4"/>
      <c r="L308" s="4" t="n">
        <v>282</v>
      </c>
    </row>
    <row r="309" customFormat="false" ht="24" hidden="false" customHeight="true" outlineLevel="0" collapsed="false">
      <c r="A309" s="3" t="n">
        <v>46429</v>
      </c>
      <c r="B309" s="4" t="s">
        <v>17</v>
      </c>
      <c r="C309" s="8" t="s">
        <v>7</v>
      </c>
      <c r="D309" s="6" t="s">
        <v>22</v>
      </c>
      <c r="E309" s="4" t="n">
        <v>89</v>
      </c>
      <c r="F309" s="6" t="s">
        <v>9</v>
      </c>
      <c r="G309" s="4" t="n">
        <v>4</v>
      </c>
      <c r="H309" s="7" t="s">
        <v>350</v>
      </c>
      <c r="I309" s="4" t="n">
        <v>14.5</v>
      </c>
      <c r="J309" s="4"/>
      <c r="K309" s="4"/>
      <c r="L309" s="4" t="n">
        <v>26</v>
      </c>
    </row>
    <row r="310" customFormat="false" ht="36" hidden="false" customHeight="true" outlineLevel="0" collapsed="false">
      <c r="A310" s="3" t="n">
        <v>46429</v>
      </c>
      <c r="B310" s="4" t="s">
        <v>17</v>
      </c>
      <c r="C310" s="10" t="s">
        <v>27</v>
      </c>
      <c r="D310" s="6" t="s">
        <v>277</v>
      </c>
      <c r="E310" s="4" t="n">
        <v>74</v>
      </c>
      <c r="F310" s="6" t="s">
        <v>4</v>
      </c>
      <c r="G310" s="4" t="n">
        <v>2</v>
      </c>
      <c r="H310" s="7" t="s">
        <v>351</v>
      </c>
      <c r="I310" s="4"/>
      <c r="J310" s="4"/>
      <c r="K310" s="4" t="n">
        <v>2500</v>
      </c>
      <c r="L310" s="4"/>
    </row>
    <row r="311" customFormat="false" ht="24" hidden="false" customHeight="true" outlineLevel="0" collapsed="false">
      <c r="A311" s="3" t="n">
        <v>46430</v>
      </c>
      <c r="B311" s="4" t="s">
        <v>21</v>
      </c>
      <c r="C311" s="8" t="s">
        <v>7</v>
      </c>
      <c r="D311" s="6" t="s">
        <v>22</v>
      </c>
      <c r="E311" s="4" t="n">
        <v>33</v>
      </c>
      <c r="F311" s="6" t="s">
        <v>19</v>
      </c>
      <c r="G311" s="4" t="n">
        <v>2</v>
      </c>
      <c r="H311" s="7" t="s">
        <v>266</v>
      </c>
      <c r="I311" s="4" t="n">
        <v>5</v>
      </c>
      <c r="J311" s="4"/>
      <c r="K311" s="4"/>
      <c r="L311" s="4" t="n">
        <v>20</v>
      </c>
    </row>
    <row r="312" customFormat="false" ht="48" hidden="false" customHeight="true" outlineLevel="0" collapsed="false">
      <c r="A312" s="3" t="n">
        <v>46430</v>
      </c>
      <c r="B312" s="4" t="s">
        <v>21</v>
      </c>
      <c r="C312" s="9" t="s">
        <v>11</v>
      </c>
      <c r="D312" s="6" t="s">
        <v>65</v>
      </c>
      <c r="E312" s="4" t="n">
        <v>122</v>
      </c>
      <c r="F312" s="6" t="s">
        <v>47</v>
      </c>
      <c r="G312" s="4" t="n">
        <v>5</v>
      </c>
      <c r="H312" s="7" t="s">
        <v>352</v>
      </c>
      <c r="I312" s="4"/>
      <c r="J312" s="4" t="n">
        <v>57</v>
      </c>
      <c r="K312" s="4"/>
      <c r="L312" s="4" t="n">
        <v>165</v>
      </c>
    </row>
    <row r="313" customFormat="false" ht="36" hidden="false" customHeight="true" outlineLevel="0" collapsed="false">
      <c r="A313" s="3" t="n">
        <v>46431</v>
      </c>
      <c r="B313" s="4" t="s">
        <v>26</v>
      </c>
      <c r="C313" s="8" t="s">
        <v>7</v>
      </c>
      <c r="D313" s="6" t="s">
        <v>353</v>
      </c>
      <c r="E313" s="4" t="n">
        <v>142</v>
      </c>
      <c r="F313" s="6" t="s">
        <v>9</v>
      </c>
      <c r="G313" s="4" t="n">
        <v>6</v>
      </c>
      <c r="H313" s="7" t="s">
        <v>354</v>
      </c>
      <c r="I313" s="4" t="n">
        <v>23</v>
      </c>
      <c r="J313" s="4"/>
      <c r="K313" s="4"/>
      <c r="L313" s="4" t="n">
        <v>114</v>
      </c>
    </row>
    <row r="314" customFormat="false" ht="36" hidden="false" customHeight="true" outlineLevel="0" collapsed="false">
      <c r="A314" s="3" t="n">
        <v>46432</v>
      </c>
      <c r="B314" s="4" t="s">
        <v>32</v>
      </c>
      <c r="C314" s="9" t="s">
        <v>11</v>
      </c>
      <c r="D314" s="6" t="s">
        <v>355</v>
      </c>
      <c r="E314" s="4" t="n">
        <v>311</v>
      </c>
      <c r="F314" s="6" t="s">
        <v>47</v>
      </c>
      <c r="G314" s="4" t="n">
        <v>6</v>
      </c>
      <c r="H314" s="7" t="s">
        <v>356</v>
      </c>
      <c r="I314" s="4"/>
      <c r="J314" s="4" t="n">
        <v>145</v>
      </c>
      <c r="K314" s="4"/>
      <c r="L314" s="4" t="n">
        <v>466</v>
      </c>
    </row>
    <row r="315" customFormat="false" ht="15" hidden="false" customHeight="true" outlineLevel="0" collapsed="false">
      <c r="A315" s="11"/>
      <c r="B315" s="11"/>
      <c r="C315" s="11"/>
      <c r="D315" s="11"/>
      <c r="E315" s="11"/>
      <c r="F315" s="11"/>
      <c r="G315" s="11"/>
      <c r="H315" s="12" t="s">
        <v>35</v>
      </c>
      <c r="I315" s="11" t="n">
        <f aca="false">SUM(I304:I314)</f>
        <v>58</v>
      </c>
      <c r="J315" s="11" t="n">
        <f aca="false">SUM(J304:J314)</f>
        <v>298</v>
      </c>
      <c r="K315" s="11" t="n">
        <f aca="false">SUM(K304:K314)</f>
        <v>5000</v>
      </c>
      <c r="L315" s="11"/>
    </row>
    <row r="316" customFormat="false" ht="60" hidden="false" customHeight="true" outlineLevel="0" collapsed="false">
      <c r="A316" s="20" t="s">
        <v>357</v>
      </c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24" hidden="false" customHeight="true" outlineLevel="0" collapsed="false">
      <c r="A317" s="3" t="n">
        <v>46433</v>
      </c>
      <c r="B317" s="4" t="s">
        <v>1</v>
      </c>
      <c r="C317" s="5" t="s">
        <v>2</v>
      </c>
      <c r="D317" s="6" t="s">
        <v>3</v>
      </c>
      <c r="E317" s="4" t="s">
        <v>4</v>
      </c>
      <c r="F317" s="6" t="s">
        <v>4</v>
      </c>
      <c r="G317" s="4" t="n">
        <v>1</v>
      </c>
      <c r="H317" s="7" t="s">
        <v>56</v>
      </c>
      <c r="I317" s="4"/>
      <c r="J317" s="4"/>
      <c r="K317" s="4"/>
      <c r="L317" s="4"/>
    </row>
    <row r="318" customFormat="false" ht="168" hidden="false" customHeight="true" outlineLevel="0" collapsed="false">
      <c r="A318" s="3" t="n">
        <v>46434</v>
      </c>
      <c r="B318" s="4" t="s">
        <v>6</v>
      </c>
      <c r="C318" s="8" t="s">
        <v>7</v>
      </c>
      <c r="D318" s="6" t="s">
        <v>358</v>
      </c>
      <c r="E318" s="4" t="n">
        <v>86</v>
      </c>
      <c r="F318" s="6" t="s">
        <v>39</v>
      </c>
      <c r="G318" s="4" t="n">
        <v>7</v>
      </c>
      <c r="H318" s="7" t="s">
        <v>359</v>
      </c>
      <c r="I318" s="4" t="n">
        <v>15</v>
      </c>
      <c r="J318" s="4"/>
      <c r="K318" s="4"/>
      <c r="L318" s="4" t="n">
        <v>75</v>
      </c>
    </row>
    <row r="319" customFormat="false" ht="24" hidden="false" customHeight="true" outlineLevel="0" collapsed="false">
      <c r="A319" s="3" t="n">
        <v>46434</v>
      </c>
      <c r="B319" s="4" t="s">
        <v>6</v>
      </c>
      <c r="C319" s="9" t="s">
        <v>11</v>
      </c>
      <c r="D319" s="6" t="s">
        <v>59</v>
      </c>
      <c r="E319" s="4" t="n">
        <v>58</v>
      </c>
      <c r="F319" s="6" t="s">
        <v>9</v>
      </c>
      <c r="G319" s="4" t="n">
        <v>2</v>
      </c>
      <c r="H319" s="7" t="s">
        <v>360</v>
      </c>
      <c r="I319" s="4"/>
      <c r="J319" s="4" t="n">
        <v>27</v>
      </c>
      <c r="K319" s="4"/>
      <c r="L319" s="4" t="n">
        <v>35</v>
      </c>
    </row>
    <row r="320" customFormat="false" ht="60" hidden="false" customHeight="true" outlineLevel="0" collapsed="false">
      <c r="A320" s="3" t="n">
        <v>46435</v>
      </c>
      <c r="B320" s="4" t="s">
        <v>14</v>
      </c>
      <c r="C320" s="9" t="s">
        <v>11</v>
      </c>
      <c r="D320" s="6" t="s">
        <v>361</v>
      </c>
      <c r="E320" s="4" t="n">
        <v>159</v>
      </c>
      <c r="F320" s="6" t="s">
        <v>43</v>
      </c>
      <c r="G320" s="4" t="n">
        <v>6</v>
      </c>
      <c r="H320" s="7" t="s">
        <v>362</v>
      </c>
      <c r="I320" s="4"/>
      <c r="J320" s="4" t="n">
        <v>74</v>
      </c>
      <c r="K320" s="4"/>
      <c r="L320" s="4" t="n">
        <v>295</v>
      </c>
    </row>
    <row r="321" customFormat="false" ht="24" hidden="false" customHeight="true" outlineLevel="0" collapsed="false">
      <c r="A321" s="3" t="n">
        <v>46436</v>
      </c>
      <c r="B321" s="4" t="s">
        <v>17</v>
      </c>
      <c r="C321" s="8" t="s">
        <v>7</v>
      </c>
      <c r="D321" s="6" t="s">
        <v>22</v>
      </c>
      <c r="E321" s="4" t="n">
        <v>83</v>
      </c>
      <c r="F321" s="6" t="s">
        <v>9</v>
      </c>
      <c r="G321" s="4" t="n">
        <v>4</v>
      </c>
      <c r="H321" s="7" t="s">
        <v>363</v>
      </c>
      <c r="I321" s="4" t="n">
        <v>13.5</v>
      </c>
      <c r="J321" s="4"/>
      <c r="K321" s="4"/>
      <c r="L321" s="4" t="n">
        <v>26</v>
      </c>
    </row>
    <row r="322" customFormat="false" ht="36" hidden="false" customHeight="true" outlineLevel="0" collapsed="false">
      <c r="A322" s="3" t="n">
        <v>46436</v>
      </c>
      <c r="B322" s="4" t="s">
        <v>17</v>
      </c>
      <c r="C322" s="10" t="s">
        <v>27</v>
      </c>
      <c r="D322" s="6" t="s">
        <v>277</v>
      </c>
      <c r="E322" s="4" t="n">
        <v>68</v>
      </c>
      <c r="F322" s="6" t="s">
        <v>4</v>
      </c>
      <c r="G322" s="4" t="n">
        <v>2</v>
      </c>
      <c r="H322" s="7" t="s">
        <v>364</v>
      </c>
      <c r="I322" s="4"/>
      <c r="J322" s="4"/>
      <c r="K322" s="4" t="n">
        <v>2300</v>
      </c>
      <c r="L322" s="4"/>
    </row>
    <row r="323" customFormat="false" ht="24" hidden="false" customHeight="true" outlineLevel="0" collapsed="false">
      <c r="A323" s="3" t="n">
        <v>46437</v>
      </c>
      <c r="B323" s="4" t="s">
        <v>21</v>
      </c>
      <c r="C323" s="8" t="s">
        <v>7</v>
      </c>
      <c r="D323" s="6" t="s">
        <v>22</v>
      </c>
      <c r="E323" s="4" t="n">
        <v>33</v>
      </c>
      <c r="F323" s="6" t="s">
        <v>19</v>
      </c>
      <c r="G323" s="4" t="n">
        <v>2</v>
      </c>
      <c r="H323" s="7" t="s">
        <v>266</v>
      </c>
      <c r="I323" s="4" t="n">
        <v>5</v>
      </c>
      <c r="J323" s="4"/>
      <c r="K323" s="4"/>
      <c r="L323" s="4" t="n">
        <v>20</v>
      </c>
    </row>
    <row r="324" customFormat="false" ht="48" hidden="false" customHeight="true" outlineLevel="0" collapsed="false">
      <c r="A324" s="3" t="n">
        <v>46437</v>
      </c>
      <c r="B324" s="4" t="s">
        <v>21</v>
      </c>
      <c r="C324" s="9" t="s">
        <v>11</v>
      </c>
      <c r="D324" s="6" t="s">
        <v>65</v>
      </c>
      <c r="E324" s="4" t="n">
        <v>131</v>
      </c>
      <c r="F324" s="6" t="s">
        <v>47</v>
      </c>
      <c r="G324" s="4" t="n">
        <v>5</v>
      </c>
      <c r="H324" s="7" t="s">
        <v>365</v>
      </c>
      <c r="I324" s="4"/>
      <c r="J324" s="4" t="n">
        <v>61</v>
      </c>
      <c r="K324" s="4"/>
      <c r="L324" s="4" t="n">
        <v>177</v>
      </c>
    </row>
    <row r="325" customFormat="false" ht="48" hidden="false" customHeight="true" outlineLevel="0" collapsed="false">
      <c r="A325" s="3" t="n">
        <v>46438</v>
      </c>
      <c r="B325" s="4" t="s">
        <v>26</v>
      </c>
      <c r="C325" s="10" t="s">
        <v>27</v>
      </c>
      <c r="D325" s="6" t="s">
        <v>103</v>
      </c>
      <c r="E325" s="4" t="n">
        <v>101</v>
      </c>
      <c r="F325" s="6" t="s">
        <v>4</v>
      </c>
      <c r="G325" s="4" t="n">
        <v>5</v>
      </c>
      <c r="H325" s="7" t="s">
        <v>366</v>
      </c>
      <c r="I325" s="4"/>
      <c r="J325" s="4"/>
      <c r="K325" s="4" t="n">
        <v>3700</v>
      </c>
      <c r="L325" s="4"/>
    </row>
    <row r="326" customFormat="false" ht="36" hidden="false" customHeight="true" outlineLevel="0" collapsed="false">
      <c r="A326" s="3" t="n">
        <v>46438</v>
      </c>
      <c r="B326" s="4" t="s">
        <v>26</v>
      </c>
      <c r="C326" s="8" t="s">
        <v>7</v>
      </c>
      <c r="D326" s="6" t="s">
        <v>367</v>
      </c>
      <c r="E326" s="4" t="n">
        <v>148</v>
      </c>
      <c r="F326" s="6" t="s">
        <v>47</v>
      </c>
      <c r="G326" s="4" t="n">
        <v>6</v>
      </c>
      <c r="H326" s="7" t="s">
        <v>368</v>
      </c>
      <c r="I326" s="4" t="n">
        <v>24</v>
      </c>
      <c r="J326" s="4"/>
      <c r="K326" s="4"/>
      <c r="L326" s="4" t="n">
        <v>118</v>
      </c>
    </row>
    <row r="327" customFormat="false" ht="36" hidden="false" customHeight="true" outlineLevel="0" collapsed="false">
      <c r="A327" s="3" t="n">
        <v>46439</v>
      </c>
      <c r="B327" s="4" t="s">
        <v>32</v>
      </c>
      <c r="C327" s="9" t="s">
        <v>11</v>
      </c>
      <c r="D327" s="6" t="s">
        <v>369</v>
      </c>
      <c r="E327" s="4" t="n">
        <v>321</v>
      </c>
      <c r="F327" s="6" t="s">
        <v>47</v>
      </c>
      <c r="G327" s="4" t="n">
        <v>6</v>
      </c>
      <c r="H327" s="7" t="s">
        <v>370</v>
      </c>
      <c r="I327" s="4"/>
      <c r="J327" s="4" t="n">
        <v>150</v>
      </c>
      <c r="K327" s="4"/>
      <c r="L327" s="4" t="n">
        <v>482</v>
      </c>
    </row>
    <row r="328" customFormat="false" ht="24" hidden="false" customHeight="true" outlineLevel="0" collapsed="false">
      <c r="A328" s="3" t="n">
        <v>46439</v>
      </c>
      <c r="B328" s="4" t="s">
        <v>32</v>
      </c>
      <c r="C328" s="8" t="s">
        <v>7</v>
      </c>
      <c r="D328" s="6" t="s">
        <v>371</v>
      </c>
      <c r="E328" s="4" t="n">
        <v>25</v>
      </c>
      <c r="F328" s="6" t="s">
        <v>47</v>
      </c>
      <c r="G328" s="4" t="n">
        <v>4</v>
      </c>
      <c r="H328" s="7" t="s">
        <v>372</v>
      </c>
      <c r="I328" s="4" t="n">
        <v>4.5</v>
      </c>
      <c r="J328" s="4"/>
      <c r="K328" s="4"/>
      <c r="L328" s="4"/>
    </row>
    <row r="329" customFormat="false" ht="36" hidden="false" customHeight="true" outlineLevel="0" collapsed="false">
      <c r="A329" s="3" t="n">
        <v>46439</v>
      </c>
      <c r="B329" s="4" t="s">
        <v>32</v>
      </c>
      <c r="C329" s="10" t="s">
        <v>27</v>
      </c>
      <c r="D329" s="6" t="s">
        <v>166</v>
      </c>
      <c r="E329" s="4" t="n">
        <v>69</v>
      </c>
      <c r="F329" s="6" t="s">
        <v>4</v>
      </c>
      <c r="G329" s="4" t="n">
        <v>6</v>
      </c>
      <c r="H329" s="7" t="s">
        <v>373</v>
      </c>
      <c r="I329" s="4"/>
      <c r="J329" s="4"/>
      <c r="K329" s="4" t="n">
        <v>2600</v>
      </c>
      <c r="L329" s="4"/>
    </row>
    <row r="330" customFormat="false" ht="15" hidden="false" customHeight="true" outlineLevel="0" collapsed="false">
      <c r="A330" s="11"/>
      <c r="B330" s="11"/>
      <c r="C330" s="11"/>
      <c r="D330" s="11"/>
      <c r="E330" s="11"/>
      <c r="F330" s="11"/>
      <c r="G330" s="11"/>
      <c r="H330" s="12" t="s">
        <v>35</v>
      </c>
      <c r="I330" s="11" t="n">
        <f aca="false">SUM(I317:I329)</f>
        <v>62</v>
      </c>
      <c r="J330" s="11" t="n">
        <f aca="false">SUM(J317:J329)</f>
        <v>312</v>
      </c>
      <c r="K330" s="11" t="n">
        <f aca="false">SUM(K317:K329)</f>
        <v>8600</v>
      </c>
      <c r="L330" s="11"/>
    </row>
    <row r="331" customFormat="false" ht="15" hidden="false" customHeight="true" outlineLevel="0" collapsed="false">
      <c r="A331" s="2" t="s">
        <v>374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customFormat="false" ht="15" hidden="false" customHeight="true" outlineLevel="0" collapsed="false">
      <c r="A332" s="3" t="n">
        <v>46440</v>
      </c>
      <c r="B332" s="4" t="s">
        <v>1</v>
      </c>
      <c r="C332" s="5" t="s">
        <v>2</v>
      </c>
      <c r="D332" s="6" t="s">
        <v>3</v>
      </c>
      <c r="E332" s="4" t="s">
        <v>4</v>
      </c>
      <c r="F332" s="6" t="s">
        <v>4</v>
      </c>
      <c r="G332" s="4" t="n">
        <v>1</v>
      </c>
      <c r="H332" s="7" t="s">
        <v>56</v>
      </c>
      <c r="I332" s="4"/>
      <c r="J332" s="4"/>
      <c r="K332" s="4"/>
      <c r="L332" s="4"/>
    </row>
    <row r="333" customFormat="false" ht="84" hidden="false" customHeight="true" outlineLevel="0" collapsed="false">
      <c r="A333" s="3" t="n">
        <v>46441</v>
      </c>
      <c r="B333" s="4" t="s">
        <v>6</v>
      </c>
      <c r="C333" s="8" t="s">
        <v>7</v>
      </c>
      <c r="D333" s="6" t="s">
        <v>375</v>
      </c>
      <c r="E333" s="4" t="n">
        <v>92</v>
      </c>
      <c r="F333" s="6" t="s">
        <v>39</v>
      </c>
      <c r="G333" s="4" t="n">
        <v>7</v>
      </c>
      <c r="H333" s="7" t="s">
        <v>376</v>
      </c>
      <c r="I333" s="4" t="n">
        <v>16.5</v>
      </c>
      <c r="J333" s="4"/>
      <c r="K333" s="4"/>
      <c r="L333" s="4" t="n">
        <v>75</v>
      </c>
    </row>
    <row r="334" customFormat="false" ht="24" hidden="false" customHeight="true" outlineLevel="0" collapsed="false">
      <c r="A334" s="3" t="n">
        <v>46441</v>
      </c>
      <c r="B334" s="4" t="s">
        <v>6</v>
      </c>
      <c r="C334" s="9" t="s">
        <v>11</v>
      </c>
      <c r="D334" s="6" t="s">
        <v>59</v>
      </c>
      <c r="E334" s="4" t="n">
        <v>60</v>
      </c>
      <c r="F334" s="6" t="s">
        <v>9</v>
      </c>
      <c r="G334" s="4" t="n">
        <v>2</v>
      </c>
      <c r="H334" s="7" t="s">
        <v>377</v>
      </c>
      <c r="I334" s="4"/>
      <c r="J334" s="4" t="n">
        <v>28</v>
      </c>
      <c r="K334" s="4"/>
      <c r="L334" s="4" t="n">
        <v>36</v>
      </c>
    </row>
    <row r="335" customFormat="false" ht="60" hidden="false" customHeight="true" outlineLevel="0" collapsed="false">
      <c r="A335" s="3" t="n">
        <v>46442</v>
      </c>
      <c r="B335" s="4" t="s">
        <v>14</v>
      </c>
      <c r="C335" s="9" t="s">
        <v>11</v>
      </c>
      <c r="D335" s="6" t="s">
        <v>378</v>
      </c>
      <c r="E335" s="4" t="n">
        <v>167</v>
      </c>
      <c r="F335" s="6" t="s">
        <v>47</v>
      </c>
      <c r="G335" s="4" t="n">
        <v>6</v>
      </c>
      <c r="H335" s="7" t="s">
        <v>379</v>
      </c>
      <c r="I335" s="4"/>
      <c r="J335" s="4" t="n">
        <v>78</v>
      </c>
      <c r="K335" s="4"/>
      <c r="L335" s="4" t="n">
        <v>311</v>
      </c>
    </row>
    <row r="336" customFormat="false" ht="24" hidden="false" customHeight="true" outlineLevel="0" collapsed="false">
      <c r="A336" s="3" t="n">
        <v>46443</v>
      </c>
      <c r="B336" s="4" t="s">
        <v>17</v>
      </c>
      <c r="C336" s="8" t="s">
        <v>7</v>
      </c>
      <c r="D336" s="6" t="s">
        <v>22</v>
      </c>
      <c r="E336" s="4" t="n">
        <v>92</v>
      </c>
      <c r="F336" s="6" t="s">
        <v>9</v>
      </c>
      <c r="G336" s="4" t="n">
        <v>4</v>
      </c>
      <c r="H336" s="7" t="s">
        <v>380</v>
      </c>
      <c r="I336" s="4" t="n">
        <v>15</v>
      </c>
      <c r="J336" s="4"/>
      <c r="K336" s="4"/>
      <c r="L336" s="4" t="n">
        <v>26</v>
      </c>
    </row>
    <row r="337" customFormat="false" ht="36" hidden="false" customHeight="true" outlineLevel="0" collapsed="false">
      <c r="A337" s="3" t="n">
        <v>46443</v>
      </c>
      <c r="B337" s="4" t="s">
        <v>17</v>
      </c>
      <c r="C337" s="10" t="s">
        <v>27</v>
      </c>
      <c r="D337" s="6" t="s">
        <v>277</v>
      </c>
      <c r="E337" s="4" t="n">
        <v>72</v>
      </c>
      <c r="F337" s="6" t="s">
        <v>4</v>
      </c>
      <c r="G337" s="4" t="n">
        <v>2</v>
      </c>
      <c r="H337" s="7" t="s">
        <v>381</v>
      </c>
      <c r="I337" s="4"/>
      <c r="J337" s="4"/>
      <c r="K337" s="4" t="n">
        <v>2450</v>
      </c>
      <c r="L337" s="4"/>
    </row>
    <row r="338" customFormat="false" ht="24" hidden="false" customHeight="true" outlineLevel="0" collapsed="false">
      <c r="A338" s="3" t="n">
        <v>46444</v>
      </c>
      <c r="B338" s="4" t="s">
        <v>21</v>
      </c>
      <c r="C338" s="8" t="s">
        <v>7</v>
      </c>
      <c r="D338" s="6" t="s">
        <v>22</v>
      </c>
      <c r="E338" s="4" t="n">
        <v>33</v>
      </c>
      <c r="F338" s="6" t="s">
        <v>19</v>
      </c>
      <c r="G338" s="4" t="n">
        <v>2</v>
      </c>
      <c r="H338" s="7" t="s">
        <v>266</v>
      </c>
      <c r="I338" s="4" t="n">
        <v>5</v>
      </c>
      <c r="J338" s="4"/>
      <c r="K338" s="4"/>
      <c r="L338" s="4" t="n">
        <v>20</v>
      </c>
    </row>
    <row r="339" customFormat="false" ht="48" hidden="false" customHeight="true" outlineLevel="0" collapsed="false">
      <c r="A339" s="3" t="n">
        <v>46444</v>
      </c>
      <c r="B339" s="4" t="s">
        <v>21</v>
      </c>
      <c r="C339" s="9" t="s">
        <v>11</v>
      </c>
      <c r="D339" s="6" t="s">
        <v>65</v>
      </c>
      <c r="E339" s="4" t="n">
        <v>137</v>
      </c>
      <c r="F339" s="6" t="s">
        <v>47</v>
      </c>
      <c r="G339" s="4" t="n">
        <v>5</v>
      </c>
      <c r="H339" s="7" t="s">
        <v>382</v>
      </c>
      <c r="I339" s="4"/>
      <c r="J339" s="4" t="n">
        <v>64</v>
      </c>
      <c r="K339" s="4"/>
      <c r="L339" s="4" t="n">
        <v>185</v>
      </c>
    </row>
    <row r="340" customFormat="false" ht="48" hidden="false" customHeight="true" outlineLevel="0" collapsed="false">
      <c r="A340" s="3" t="n">
        <v>46445</v>
      </c>
      <c r="B340" s="4" t="s">
        <v>26</v>
      </c>
      <c r="C340" s="10" t="s">
        <v>27</v>
      </c>
      <c r="D340" s="6" t="s">
        <v>103</v>
      </c>
      <c r="E340" s="4" t="n">
        <v>103</v>
      </c>
      <c r="F340" s="6" t="s">
        <v>4</v>
      </c>
      <c r="G340" s="4" t="n">
        <v>5</v>
      </c>
      <c r="H340" s="7" t="s">
        <v>383</v>
      </c>
      <c r="I340" s="4"/>
      <c r="J340" s="4"/>
      <c r="K340" s="4" t="n">
        <v>3850</v>
      </c>
      <c r="L340" s="4"/>
    </row>
    <row r="341" customFormat="false" ht="36" hidden="false" customHeight="true" outlineLevel="0" collapsed="false">
      <c r="A341" s="3" t="n">
        <v>46445</v>
      </c>
      <c r="B341" s="4" t="s">
        <v>26</v>
      </c>
      <c r="C341" s="8" t="s">
        <v>7</v>
      </c>
      <c r="D341" s="6" t="s">
        <v>384</v>
      </c>
      <c r="E341" s="4" t="n">
        <v>154</v>
      </c>
      <c r="F341" s="6" t="s">
        <v>9</v>
      </c>
      <c r="G341" s="4" t="n">
        <v>6</v>
      </c>
      <c r="H341" s="7" t="s">
        <v>385</v>
      </c>
      <c r="I341" s="4" t="n">
        <v>25</v>
      </c>
      <c r="J341" s="4"/>
      <c r="K341" s="4"/>
      <c r="L341" s="4" t="n">
        <v>123</v>
      </c>
    </row>
    <row r="342" customFormat="false" ht="36" hidden="false" customHeight="true" outlineLevel="0" collapsed="false">
      <c r="A342" s="3" t="n">
        <v>46446</v>
      </c>
      <c r="B342" s="4" t="s">
        <v>32</v>
      </c>
      <c r="C342" s="9" t="s">
        <v>11</v>
      </c>
      <c r="D342" s="6" t="s">
        <v>386</v>
      </c>
      <c r="E342" s="4" t="n">
        <v>332</v>
      </c>
      <c r="F342" s="6" t="s">
        <v>47</v>
      </c>
      <c r="G342" s="4" t="n">
        <v>6</v>
      </c>
      <c r="H342" s="7" t="s">
        <v>387</v>
      </c>
      <c r="I342" s="4"/>
      <c r="J342" s="4" t="n">
        <v>155</v>
      </c>
      <c r="K342" s="4"/>
      <c r="L342" s="4" t="n">
        <v>498</v>
      </c>
    </row>
    <row r="343" customFormat="false" ht="24" hidden="false" customHeight="true" outlineLevel="0" collapsed="false">
      <c r="A343" s="3" t="n">
        <v>46446</v>
      </c>
      <c r="B343" s="4" t="s">
        <v>32</v>
      </c>
      <c r="C343" s="8" t="s">
        <v>7</v>
      </c>
      <c r="D343" s="6" t="s">
        <v>371</v>
      </c>
      <c r="E343" s="4" t="n">
        <v>25</v>
      </c>
      <c r="F343" s="6" t="s">
        <v>47</v>
      </c>
      <c r="G343" s="4" t="n">
        <v>4</v>
      </c>
      <c r="H343" s="7" t="s">
        <v>372</v>
      </c>
      <c r="I343" s="4" t="n">
        <v>4.5</v>
      </c>
      <c r="J343" s="4"/>
      <c r="K343" s="4"/>
      <c r="L343" s="4"/>
    </row>
    <row r="344" customFormat="false" ht="36" hidden="false" customHeight="true" outlineLevel="0" collapsed="false">
      <c r="A344" s="3" t="n">
        <v>46446</v>
      </c>
      <c r="B344" s="4" t="s">
        <v>32</v>
      </c>
      <c r="C344" s="10" t="s">
        <v>27</v>
      </c>
      <c r="D344" s="6" t="s">
        <v>33</v>
      </c>
      <c r="E344" s="4" t="n">
        <v>68</v>
      </c>
      <c r="F344" s="6" t="s">
        <v>4</v>
      </c>
      <c r="G344" s="4" t="n">
        <v>4</v>
      </c>
      <c r="H344" s="7" t="s">
        <v>388</v>
      </c>
      <c r="I344" s="4"/>
      <c r="J344" s="4"/>
      <c r="K344" s="4" t="n">
        <v>2700</v>
      </c>
      <c r="L344" s="4"/>
    </row>
    <row r="345" customFormat="false" ht="15" hidden="false" customHeight="true" outlineLevel="0" collapsed="false">
      <c r="A345" s="11"/>
      <c r="B345" s="11"/>
      <c r="C345" s="11"/>
      <c r="D345" s="11"/>
      <c r="E345" s="11"/>
      <c r="F345" s="11"/>
      <c r="G345" s="11"/>
      <c r="H345" s="12" t="s">
        <v>35</v>
      </c>
      <c r="I345" s="11" t="n">
        <f aca="false">SUM(I332:I344)</f>
        <v>66</v>
      </c>
      <c r="J345" s="11" t="n">
        <f aca="false">SUM(J332:J344)</f>
        <v>325</v>
      </c>
      <c r="K345" s="11" t="n">
        <f aca="false">SUM(K332:K344)</f>
        <v>9000</v>
      </c>
      <c r="L345" s="11"/>
    </row>
    <row r="346" customFormat="false" ht="36" hidden="false" customHeight="true" outlineLevel="0" collapsed="false">
      <c r="A346" s="16" t="s">
        <v>389</v>
      </c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</row>
    <row r="347" customFormat="false" ht="36" hidden="false" customHeight="true" outlineLevel="0" collapsed="false">
      <c r="A347" s="3" t="n">
        <v>46447</v>
      </c>
      <c r="B347" s="4" t="s">
        <v>1</v>
      </c>
      <c r="C347" s="5" t="s">
        <v>2</v>
      </c>
      <c r="D347" s="6" t="s">
        <v>390</v>
      </c>
      <c r="E347" s="4" t="s">
        <v>4</v>
      </c>
      <c r="F347" s="6" t="s">
        <v>4</v>
      </c>
      <c r="G347" s="4" t="n">
        <v>1</v>
      </c>
      <c r="H347" s="7" t="s">
        <v>391</v>
      </c>
      <c r="I347" s="4"/>
      <c r="J347" s="4"/>
      <c r="K347" s="4"/>
      <c r="L347" s="4"/>
    </row>
    <row r="348" customFormat="false" ht="36" hidden="false" customHeight="true" outlineLevel="0" collapsed="false">
      <c r="A348" s="3" t="n">
        <v>46448</v>
      </c>
      <c r="B348" s="4" t="s">
        <v>6</v>
      </c>
      <c r="C348" s="21" t="s">
        <v>392</v>
      </c>
      <c r="D348" s="6" t="s">
        <v>393</v>
      </c>
      <c r="E348" s="4" t="n">
        <v>360</v>
      </c>
      <c r="F348" s="6" t="s">
        <v>394</v>
      </c>
      <c r="G348" s="4" t="n">
        <v>5</v>
      </c>
      <c r="H348" s="7" t="s">
        <v>395</v>
      </c>
      <c r="I348" s="4"/>
      <c r="J348" s="4"/>
      <c r="K348" s="4"/>
      <c r="L348" s="4" t="n">
        <v>150</v>
      </c>
    </row>
    <row r="349" customFormat="false" ht="36" hidden="false" customHeight="true" outlineLevel="0" collapsed="false">
      <c r="A349" s="3" t="n">
        <v>46449</v>
      </c>
      <c r="B349" s="4" t="s">
        <v>14</v>
      </c>
      <c r="C349" s="21" t="s">
        <v>392</v>
      </c>
      <c r="D349" s="6" t="s">
        <v>393</v>
      </c>
      <c r="E349" s="4" t="n">
        <v>360</v>
      </c>
      <c r="F349" s="6" t="s">
        <v>394</v>
      </c>
      <c r="G349" s="4" t="n">
        <v>5</v>
      </c>
      <c r="H349" s="7" t="s">
        <v>395</v>
      </c>
      <c r="I349" s="4"/>
      <c r="J349" s="4"/>
      <c r="K349" s="4"/>
      <c r="L349" s="4" t="n">
        <v>150</v>
      </c>
    </row>
    <row r="350" customFormat="false" ht="36" hidden="false" customHeight="true" outlineLevel="0" collapsed="false">
      <c r="A350" s="3" t="n">
        <v>46450</v>
      </c>
      <c r="B350" s="4" t="s">
        <v>17</v>
      </c>
      <c r="C350" s="21" t="s">
        <v>392</v>
      </c>
      <c r="D350" s="6" t="s">
        <v>393</v>
      </c>
      <c r="E350" s="4" t="n">
        <v>360</v>
      </c>
      <c r="F350" s="6" t="s">
        <v>394</v>
      </c>
      <c r="G350" s="4" t="n">
        <v>5</v>
      </c>
      <c r="H350" s="7" t="s">
        <v>395</v>
      </c>
      <c r="I350" s="4"/>
      <c r="J350" s="4"/>
      <c r="K350" s="4"/>
      <c r="L350" s="4" t="n">
        <v>150</v>
      </c>
    </row>
    <row r="351" customFormat="false" ht="36" hidden="false" customHeight="true" outlineLevel="0" collapsed="false">
      <c r="A351" s="3" t="n">
        <v>46451</v>
      </c>
      <c r="B351" s="4" t="s">
        <v>21</v>
      </c>
      <c r="C351" s="21" t="s">
        <v>392</v>
      </c>
      <c r="D351" s="6" t="s">
        <v>393</v>
      </c>
      <c r="E351" s="4" t="n">
        <v>360</v>
      </c>
      <c r="F351" s="6" t="s">
        <v>394</v>
      </c>
      <c r="G351" s="4" t="n">
        <v>5</v>
      </c>
      <c r="H351" s="7" t="s">
        <v>395</v>
      </c>
      <c r="I351" s="4"/>
      <c r="J351" s="4"/>
      <c r="K351" s="4"/>
      <c r="L351" s="4" t="n">
        <v>150</v>
      </c>
    </row>
    <row r="352" customFormat="false" ht="36" hidden="false" customHeight="true" outlineLevel="0" collapsed="false">
      <c r="A352" s="3" t="n">
        <v>46452</v>
      </c>
      <c r="B352" s="4" t="s">
        <v>26</v>
      </c>
      <c r="C352" s="21" t="s">
        <v>392</v>
      </c>
      <c r="D352" s="6" t="s">
        <v>393</v>
      </c>
      <c r="E352" s="4" t="n">
        <v>360</v>
      </c>
      <c r="F352" s="6" t="s">
        <v>394</v>
      </c>
      <c r="G352" s="4" t="n">
        <v>5</v>
      </c>
      <c r="H352" s="7" t="s">
        <v>395</v>
      </c>
      <c r="I352" s="4"/>
      <c r="J352" s="4"/>
      <c r="K352" s="4"/>
      <c r="L352" s="4" t="n">
        <v>150</v>
      </c>
    </row>
    <row r="353" customFormat="false" ht="48" hidden="false" customHeight="true" outlineLevel="0" collapsed="false">
      <c r="A353" s="3" t="n">
        <v>46453</v>
      </c>
      <c r="B353" s="4" t="s">
        <v>32</v>
      </c>
      <c r="C353" s="5" t="s">
        <v>2</v>
      </c>
      <c r="D353" s="6" t="s">
        <v>396</v>
      </c>
      <c r="E353" s="4" t="s">
        <v>4</v>
      </c>
      <c r="F353" s="6" t="s">
        <v>4</v>
      </c>
      <c r="G353" s="4" t="n">
        <v>1</v>
      </c>
      <c r="H353" s="7" t="s">
        <v>397</v>
      </c>
      <c r="I353" s="4"/>
      <c r="J353" s="4"/>
      <c r="K353" s="4"/>
      <c r="L353" s="4"/>
    </row>
    <row r="354" customFormat="false" ht="15" hidden="false" customHeight="true" outlineLevel="0" collapsed="false">
      <c r="A354" s="11"/>
      <c r="B354" s="11"/>
      <c r="C354" s="11"/>
      <c r="D354" s="11"/>
      <c r="E354" s="11"/>
      <c r="F354" s="11"/>
      <c r="G354" s="11"/>
      <c r="H354" s="12" t="s">
        <v>35</v>
      </c>
      <c r="I354" s="11" t="n">
        <f aca="false">SUM(I347:I353)</f>
        <v>0</v>
      </c>
      <c r="J354" s="11" t="n">
        <f aca="false">SUM(J347:J353)</f>
        <v>0</v>
      </c>
      <c r="K354" s="11" t="n">
        <f aca="false">SUM(K347:K353)</f>
        <v>0</v>
      </c>
      <c r="L354" s="11"/>
    </row>
    <row r="355" customFormat="false" ht="36" hidden="false" customHeight="true" outlineLevel="0" collapsed="false">
      <c r="A355" s="16" t="s">
        <v>398</v>
      </c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</row>
    <row r="356" customFormat="false" ht="24" hidden="false" customHeight="true" outlineLevel="0" collapsed="false">
      <c r="A356" s="3" t="n">
        <v>46454</v>
      </c>
      <c r="B356" s="4" t="s">
        <v>1</v>
      </c>
      <c r="C356" s="5" t="s">
        <v>2</v>
      </c>
      <c r="D356" s="6" t="s">
        <v>3</v>
      </c>
      <c r="E356" s="4" t="s">
        <v>4</v>
      </c>
      <c r="F356" s="6" t="s">
        <v>4</v>
      </c>
      <c r="G356" s="4" t="n">
        <v>1</v>
      </c>
      <c r="H356" s="7" t="s">
        <v>56</v>
      </c>
      <c r="I356" s="4"/>
      <c r="J356" s="4"/>
      <c r="K356" s="4"/>
      <c r="L356" s="4"/>
    </row>
    <row r="357" customFormat="false" ht="84" hidden="false" customHeight="true" outlineLevel="0" collapsed="false">
      <c r="A357" s="3" t="n">
        <v>46455</v>
      </c>
      <c r="B357" s="4" t="s">
        <v>6</v>
      </c>
      <c r="C357" s="8" t="s">
        <v>7</v>
      </c>
      <c r="D357" s="6" t="s">
        <v>399</v>
      </c>
      <c r="E357" s="4" t="n">
        <v>66</v>
      </c>
      <c r="F357" s="6" t="s">
        <v>47</v>
      </c>
      <c r="G357" s="4" t="n">
        <v>5</v>
      </c>
      <c r="H357" s="7" t="s">
        <v>400</v>
      </c>
      <c r="I357" s="4" t="n">
        <v>11.5</v>
      </c>
      <c r="J357" s="4"/>
      <c r="K357" s="4"/>
      <c r="L357" s="4" t="n">
        <v>75</v>
      </c>
    </row>
    <row r="358" customFormat="false" ht="24" hidden="false" customHeight="true" outlineLevel="0" collapsed="false">
      <c r="A358" s="3" t="n">
        <v>46455</v>
      </c>
      <c r="B358" s="4" t="s">
        <v>6</v>
      </c>
      <c r="C358" s="9" t="s">
        <v>11</v>
      </c>
      <c r="D358" s="6" t="s">
        <v>59</v>
      </c>
      <c r="E358" s="4" t="n">
        <v>51</v>
      </c>
      <c r="F358" s="6" t="s">
        <v>9</v>
      </c>
      <c r="G358" s="4" t="n">
        <v>2</v>
      </c>
      <c r="H358" s="7" t="s">
        <v>239</v>
      </c>
      <c r="I358" s="4"/>
      <c r="J358" s="4" t="n">
        <v>24</v>
      </c>
      <c r="K358" s="4"/>
      <c r="L358" s="4" t="n">
        <v>31</v>
      </c>
    </row>
    <row r="359" customFormat="false" ht="36" hidden="false" customHeight="true" outlineLevel="0" collapsed="false">
      <c r="A359" s="3" t="n">
        <v>46456</v>
      </c>
      <c r="B359" s="4" t="s">
        <v>14</v>
      </c>
      <c r="C359" s="9" t="s">
        <v>11</v>
      </c>
      <c r="D359" s="6" t="s">
        <v>401</v>
      </c>
      <c r="E359" s="4" t="n">
        <v>124</v>
      </c>
      <c r="F359" s="6" t="s">
        <v>9</v>
      </c>
      <c r="G359" s="4" t="n">
        <v>3</v>
      </c>
      <c r="H359" s="7" t="s">
        <v>402</v>
      </c>
      <c r="I359" s="4"/>
      <c r="J359" s="4" t="n">
        <v>58</v>
      </c>
      <c r="K359" s="4"/>
      <c r="L359" s="4" t="n">
        <v>112</v>
      </c>
    </row>
    <row r="360" customFormat="false" ht="24" hidden="false" customHeight="true" outlineLevel="0" collapsed="false">
      <c r="A360" s="3" t="n">
        <v>46457</v>
      </c>
      <c r="B360" s="4" t="s">
        <v>17</v>
      </c>
      <c r="C360" s="8" t="s">
        <v>7</v>
      </c>
      <c r="D360" s="6" t="s">
        <v>22</v>
      </c>
      <c r="E360" s="4" t="n">
        <v>68</v>
      </c>
      <c r="F360" s="6" t="s">
        <v>9</v>
      </c>
      <c r="G360" s="4" t="n">
        <v>4</v>
      </c>
      <c r="H360" s="7" t="s">
        <v>403</v>
      </c>
      <c r="I360" s="4" t="n">
        <v>11</v>
      </c>
      <c r="J360" s="4"/>
      <c r="K360" s="4"/>
      <c r="L360" s="4" t="n">
        <v>26</v>
      </c>
    </row>
    <row r="361" customFormat="false" ht="36" hidden="false" customHeight="true" outlineLevel="0" collapsed="false">
      <c r="A361" s="3" t="n">
        <v>46457</v>
      </c>
      <c r="B361" s="4" t="s">
        <v>17</v>
      </c>
      <c r="C361" s="10" t="s">
        <v>27</v>
      </c>
      <c r="D361" s="6" t="s">
        <v>277</v>
      </c>
      <c r="E361" s="4" t="n">
        <v>57</v>
      </c>
      <c r="F361" s="6" t="s">
        <v>4</v>
      </c>
      <c r="G361" s="4" t="n">
        <v>2</v>
      </c>
      <c r="H361" s="7" t="s">
        <v>278</v>
      </c>
      <c r="I361" s="4"/>
      <c r="J361" s="4"/>
      <c r="K361" s="4" t="n">
        <v>1900</v>
      </c>
      <c r="L361" s="4"/>
    </row>
    <row r="362" customFormat="false" ht="24" hidden="false" customHeight="true" outlineLevel="0" collapsed="false">
      <c r="A362" s="3" t="n">
        <v>46458</v>
      </c>
      <c r="B362" s="4" t="s">
        <v>21</v>
      </c>
      <c r="C362" s="8" t="s">
        <v>7</v>
      </c>
      <c r="D362" s="6" t="s">
        <v>22</v>
      </c>
      <c r="E362" s="4" t="n">
        <v>33</v>
      </c>
      <c r="F362" s="6" t="s">
        <v>19</v>
      </c>
      <c r="G362" s="4" t="n">
        <v>2</v>
      </c>
      <c r="H362" s="7" t="s">
        <v>266</v>
      </c>
      <c r="I362" s="4" t="n">
        <v>5</v>
      </c>
      <c r="J362" s="4"/>
      <c r="K362" s="4"/>
      <c r="L362" s="4" t="n">
        <v>20</v>
      </c>
    </row>
    <row r="363" customFormat="false" ht="24" hidden="false" customHeight="true" outlineLevel="0" collapsed="false">
      <c r="A363" s="3" t="n">
        <v>46458</v>
      </c>
      <c r="B363" s="4" t="s">
        <v>21</v>
      </c>
      <c r="C363" s="9" t="s">
        <v>11</v>
      </c>
      <c r="D363" s="6" t="s">
        <v>404</v>
      </c>
      <c r="E363" s="4" t="n">
        <v>103</v>
      </c>
      <c r="F363" s="6" t="s">
        <v>9</v>
      </c>
      <c r="G363" s="4" t="n">
        <v>2</v>
      </c>
      <c r="H363" s="7" t="s">
        <v>405</v>
      </c>
      <c r="I363" s="4"/>
      <c r="J363" s="4" t="n">
        <v>48</v>
      </c>
      <c r="K363" s="4"/>
      <c r="L363" s="4" t="n">
        <v>82</v>
      </c>
    </row>
    <row r="364" customFormat="false" ht="48" hidden="false" customHeight="true" outlineLevel="0" collapsed="false">
      <c r="A364" s="3" t="n">
        <v>46459</v>
      </c>
      <c r="B364" s="4" t="s">
        <v>26</v>
      </c>
      <c r="C364" s="10" t="s">
        <v>27</v>
      </c>
      <c r="D364" s="6" t="s">
        <v>103</v>
      </c>
      <c r="E364" s="4" t="n">
        <v>84</v>
      </c>
      <c r="F364" s="6" t="s">
        <v>4</v>
      </c>
      <c r="G364" s="4" t="n">
        <v>5</v>
      </c>
      <c r="H364" s="7" t="s">
        <v>406</v>
      </c>
      <c r="I364" s="4"/>
      <c r="J364" s="4"/>
      <c r="K364" s="4" t="n">
        <v>3000</v>
      </c>
      <c r="L364" s="4"/>
    </row>
    <row r="365" customFormat="false" ht="36" hidden="false" customHeight="true" outlineLevel="0" collapsed="false">
      <c r="A365" s="3" t="n">
        <v>46459</v>
      </c>
      <c r="B365" s="4" t="s">
        <v>26</v>
      </c>
      <c r="C365" s="8" t="s">
        <v>7</v>
      </c>
      <c r="D365" s="6" t="s">
        <v>295</v>
      </c>
      <c r="E365" s="4" t="n">
        <v>123</v>
      </c>
      <c r="F365" s="6" t="s">
        <v>9</v>
      </c>
      <c r="G365" s="4" t="n">
        <v>6</v>
      </c>
      <c r="H365" s="7" t="s">
        <v>407</v>
      </c>
      <c r="I365" s="4" t="n">
        <v>20</v>
      </c>
      <c r="J365" s="4"/>
      <c r="K365" s="4"/>
      <c r="L365" s="4" t="n">
        <v>98</v>
      </c>
    </row>
    <row r="366" customFormat="false" ht="36" hidden="false" customHeight="true" outlineLevel="0" collapsed="false">
      <c r="A366" s="3" t="n">
        <v>46460</v>
      </c>
      <c r="B366" s="4" t="s">
        <v>32</v>
      </c>
      <c r="C366" s="9" t="s">
        <v>11</v>
      </c>
      <c r="D366" s="6" t="s">
        <v>283</v>
      </c>
      <c r="E366" s="4" t="n">
        <v>257</v>
      </c>
      <c r="F366" s="6" t="s">
        <v>47</v>
      </c>
      <c r="G366" s="4" t="n">
        <v>6</v>
      </c>
      <c r="H366" s="7" t="s">
        <v>408</v>
      </c>
      <c r="I366" s="4"/>
      <c r="J366" s="4" t="n">
        <v>120</v>
      </c>
      <c r="K366" s="4"/>
      <c r="L366" s="4" t="n">
        <v>386</v>
      </c>
    </row>
    <row r="367" customFormat="false" ht="24" hidden="false" customHeight="true" outlineLevel="0" collapsed="false">
      <c r="A367" s="3" t="n">
        <v>46460</v>
      </c>
      <c r="B367" s="4" t="s">
        <v>32</v>
      </c>
      <c r="C367" s="8" t="s">
        <v>7</v>
      </c>
      <c r="D367" s="6" t="s">
        <v>285</v>
      </c>
      <c r="E367" s="4" t="n">
        <v>15</v>
      </c>
      <c r="F367" s="6" t="s">
        <v>47</v>
      </c>
      <c r="G367" s="4" t="n">
        <v>4</v>
      </c>
      <c r="H367" s="7" t="s">
        <v>286</v>
      </c>
      <c r="I367" s="4" t="n">
        <v>2.5</v>
      </c>
      <c r="J367" s="4"/>
      <c r="K367" s="4"/>
      <c r="L367" s="4"/>
    </row>
    <row r="368" customFormat="false" ht="36" hidden="false" customHeight="true" outlineLevel="0" collapsed="false">
      <c r="A368" s="3" t="n">
        <v>46460</v>
      </c>
      <c r="B368" s="4" t="s">
        <v>32</v>
      </c>
      <c r="C368" s="10" t="s">
        <v>27</v>
      </c>
      <c r="D368" s="6" t="s">
        <v>33</v>
      </c>
      <c r="E368" s="4" t="n">
        <v>55</v>
      </c>
      <c r="F368" s="6" t="s">
        <v>4</v>
      </c>
      <c r="G368" s="4" t="n">
        <v>4</v>
      </c>
      <c r="H368" s="7" t="s">
        <v>409</v>
      </c>
      <c r="I368" s="4"/>
      <c r="J368" s="4"/>
      <c r="K368" s="4" t="n">
        <v>2100</v>
      </c>
      <c r="L368" s="4"/>
    </row>
    <row r="369" customFormat="false" ht="15" hidden="false" customHeight="true" outlineLevel="0" collapsed="false">
      <c r="A369" s="11"/>
      <c r="B369" s="11"/>
      <c r="C369" s="11"/>
      <c r="D369" s="11"/>
      <c r="E369" s="11"/>
      <c r="F369" s="11"/>
      <c r="G369" s="11"/>
      <c r="H369" s="12" t="s">
        <v>35</v>
      </c>
      <c r="I369" s="11" t="n">
        <f aca="false">SUM(I356:I368)</f>
        <v>50</v>
      </c>
      <c r="J369" s="11" t="n">
        <f aca="false">SUM(J356:J368)</f>
        <v>250</v>
      </c>
      <c r="K369" s="11" t="n">
        <f aca="false">SUM(K356:K368)</f>
        <v>7000</v>
      </c>
      <c r="L369" s="11"/>
    </row>
    <row r="370" customFormat="false" ht="24" hidden="false" customHeight="true" outlineLevel="0" collapsed="false">
      <c r="A370" s="16" t="s">
        <v>410</v>
      </c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</row>
    <row r="371" customFormat="false" ht="36" hidden="false" customHeight="true" outlineLevel="0" collapsed="false">
      <c r="A371" s="3" t="n">
        <v>46461</v>
      </c>
      <c r="B371" s="4" t="s">
        <v>1</v>
      </c>
      <c r="C371" s="5" t="s">
        <v>2</v>
      </c>
      <c r="D371" s="6" t="s">
        <v>3</v>
      </c>
      <c r="E371" s="4" t="s">
        <v>4</v>
      </c>
      <c r="F371" s="6" t="s">
        <v>4</v>
      </c>
      <c r="G371" s="4" t="n">
        <v>1</v>
      </c>
      <c r="H371" s="7" t="s">
        <v>56</v>
      </c>
      <c r="I371" s="4"/>
      <c r="J371" s="4"/>
      <c r="K371" s="4"/>
      <c r="L371" s="4"/>
    </row>
    <row r="372" customFormat="false" ht="132" hidden="false" customHeight="true" outlineLevel="0" collapsed="false">
      <c r="A372" s="3" t="n">
        <v>46462</v>
      </c>
      <c r="B372" s="4" t="s">
        <v>6</v>
      </c>
      <c r="C372" s="8" t="s">
        <v>7</v>
      </c>
      <c r="D372" s="6" t="s">
        <v>411</v>
      </c>
      <c r="E372" s="4" t="n">
        <v>80</v>
      </c>
      <c r="F372" s="6" t="s">
        <v>43</v>
      </c>
      <c r="G372" s="4" t="n">
        <v>6</v>
      </c>
      <c r="H372" s="7" t="s">
        <v>412</v>
      </c>
      <c r="I372" s="4" t="n">
        <v>14.5</v>
      </c>
      <c r="J372" s="4"/>
      <c r="K372" s="4"/>
      <c r="L372" s="4" t="n">
        <v>72</v>
      </c>
    </row>
    <row r="373" customFormat="false" ht="24" hidden="false" customHeight="true" outlineLevel="0" collapsed="false">
      <c r="A373" s="3" t="n">
        <v>46462</v>
      </c>
      <c r="B373" s="4" t="s">
        <v>6</v>
      </c>
      <c r="C373" s="9" t="s">
        <v>11</v>
      </c>
      <c r="D373" s="6" t="s">
        <v>59</v>
      </c>
      <c r="E373" s="4" t="n">
        <v>56</v>
      </c>
      <c r="F373" s="6" t="s">
        <v>9</v>
      </c>
      <c r="G373" s="4" t="n">
        <v>2</v>
      </c>
      <c r="H373" s="7" t="s">
        <v>345</v>
      </c>
      <c r="I373" s="4"/>
      <c r="J373" s="4" t="n">
        <v>26</v>
      </c>
      <c r="K373" s="4"/>
      <c r="L373" s="4" t="n">
        <v>34</v>
      </c>
    </row>
    <row r="374" customFormat="false" ht="60" hidden="false" customHeight="true" outlineLevel="0" collapsed="false">
      <c r="A374" s="3" t="n">
        <v>46463</v>
      </c>
      <c r="B374" s="4" t="s">
        <v>14</v>
      </c>
      <c r="C374" s="9" t="s">
        <v>11</v>
      </c>
      <c r="D374" s="6" t="s">
        <v>305</v>
      </c>
      <c r="E374" s="4" t="n">
        <v>146</v>
      </c>
      <c r="F374" s="6" t="s">
        <v>43</v>
      </c>
      <c r="G374" s="4" t="n">
        <v>6</v>
      </c>
      <c r="H374" s="7" t="s">
        <v>413</v>
      </c>
      <c r="I374" s="4"/>
      <c r="J374" s="4" t="n">
        <v>68</v>
      </c>
      <c r="K374" s="4"/>
      <c r="L374" s="4" t="n">
        <v>269</v>
      </c>
    </row>
    <row r="375" customFormat="false" ht="24" hidden="false" customHeight="true" outlineLevel="0" collapsed="false">
      <c r="A375" s="3" t="n">
        <v>46464</v>
      </c>
      <c r="B375" s="4" t="s">
        <v>17</v>
      </c>
      <c r="C375" s="8" t="s">
        <v>7</v>
      </c>
      <c r="D375" s="6" t="s">
        <v>22</v>
      </c>
      <c r="E375" s="4" t="n">
        <v>80</v>
      </c>
      <c r="F375" s="6" t="s">
        <v>9</v>
      </c>
      <c r="G375" s="4" t="n">
        <v>4</v>
      </c>
      <c r="H375" s="7" t="s">
        <v>414</v>
      </c>
      <c r="I375" s="4" t="n">
        <v>13</v>
      </c>
      <c r="J375" s="4"/>
      <c r="K375" s="4"/>
      <c r="L375" s="4" t="n">
        <v>26</v>
      </c>
    </row>
    <row r="376" customFormat="false" ht="36" hidden="false" customHeight="true" outlineLevel="0" collapsed="false">
      <c r="A376" s="3" t="n">
        <v>46464</v>
      </c>
      <c r="B376" s="4" t="s">
        <v>17</v>
      </c>
      <c r="C376" s="10" t="s">
        <v>27</v>
      </c>
      <c r="D376" s="6" t="s">
        <v>277</v>
      </c>
      <c r="E376" s="4" t="n">
        <v>65</v>
      </c>
      <c r="F376" s="6" t="s">
        <v>4</v>
      </c>
      <c r="G376" s="4" t="n">
        <v>2</v>
      </c>
      <c r="H376" s="7" t="s">
        <v>415</v>
      </c>
      <c r="I376" s="4"/>
      <c r="J376" s="4"/>
      <c r="K376" s="4" t="n">
        <v>2200</v>
      </c>
      <c r="L376" s="4"/>
    </row>
    <row r="377" customFormat="false" ht="24" hidden="false" customHeight="true" outlineLevel="0" collapsed="false">
      <c r="A377" s="3" t="n">
        <v>46465</v>
      </c>
      <c r="B377" s="4" t="s">
        <v>21</v>
      </c>
      <c r="C377" s="8" t="s">
        <v>7</v>
      </c>
      <c r="D377" s="6" t="s">
        <v>22</v>
      </c>
      <c r="E377" s="4" t="n">
        <v>40</v>
      </c>
      <c r="F377" s="6" t="s">
        <v>19</v>
      </c>
      <c r="G377" s="4" t="n">
        <v>2</v>
      </c>
      <c r="H377" s="7" t="s">
        <v>416</v>
      </c>
      <c r="I377" s="4" t="n">
        <v>6</v>
      </c>
      <c r="J377" s="4"/>
      <c r="K377" s="4"/>
      <c r="L377" s="4" t="n">
        <v>20</v>
      </c>
    </row>
    <row r="378" customFormat="false" ht="48" hidden="false" customHeight="true" outlineLevel="0" collapsed="false">
      <c r="A378" s="3" t="n">
        <v>46465</v>
      </c>
      <c r="B378" s="4" t="s">
        <v>21</v>
      </c>
      <c r="C378" s="9" t="s">
        <v>11</v>
      </c>
      <c r="D378" s="6" t="s">
        <v>65</v>
      </c>
      <c r="E378" s="4" t="n">
        <v>120</v>
      </c>
      <c r="F378" s="6" t="s">
        <v>47</v>
      </c>
      <c r="G378" s="4" t="n">
        <v>5</v>
      </c>
      <c r="H378" s="7" t="s">
        <v>417</v>
      </c>
      <c r="I378" s="4"/>
      <c r="J378" s="4" t="n">
        <v>56</v>
      </c>
      <c r="K378" s="4"/>
      <c r="L378" s="4" t="n">
        <v>162</v>
      </c>
    </row>
    <row r="379" customFormat="false" ht="48" hidden="false" customHeight="true" outlineLevel="0" collapsed="false">
      <c r="A379" s="3" t="n">
        <v>46466</v>
      </c>
      <c r="B379" s="4" t="s">
        <v>26</v>
      </c>
      <c r="C379" s="10" t="s">
        <v>27</v>
      </c>
      <c r="D379" s="6" t="s">
        <v>103</v>
      </c>
      <c r="E379" s="4" t="n">
        <v>96</v>
      </c>
      <c r="F379" s="6" t="s">
        <v>4</v>
      </c>
      <c r="G379" s="4" t="n">
        <v>5</v>
      </c>
      <c r="H379" s="7" t="s">
        <v>418</v>
      </c>
      <c r="I379" s="4"/>
      <c r="J379" s="4"/>
      <c r="K379" s="4" t="n">
        <v>3550</v>
      </c>
      <c r="L379" s="4"/>
    </row>
    <row r="380" customFormat="false" ht="36" hidden="false" customHeight="true" outlineLevel="0" collapsed="false">
      <c r="A380" s="3" t="n">
        <v>46466</v>
      </c>
      <c r="B380" s="4" t="s">
        <v>26</v>
      </c>
      <c r="C380" s="8" t="s">
        <v>7</v>
      </c>
      <c r="D380" s="6" t="s">
        <v>419</v>
      </c>
      <c r="E380" s="4" t="n">
        <v>142</v>
      </c>
      <c r="F380" s="6" t="s">
        <v>47</v>
      </c>
      <c r="G380" s="4" t="n">
        <v>7</v>
      </c>
      <c r="H380" s="7" t="s">
        <v>420</v>
      </c>
      <c r="I380" s="4" t="n">
        <v>23</v>
      </c>
      <c r="J380" s="4"/>
      <c r="K380" s="4"/>
      <c r="L380" s="4" t="n">
        <v>114</v>
      </c>
    </row>
    <row r="381" customFormat="false" ht="36" hidden="false" customHeight="true" outlineLevel="0" collapsed="false">
      <c r="A381" s="3" t="n">
        <v>46467</v>
      </c>
      <c r="B381" s="4" t="s">
        <v>32</v>
      </c>
      <c r="C381" s="9" t="s">
        <v>11</v>
      </c>
      <c r="D381" s="6" t="s">
        <v>339</v>
      </c>
      <c r="E381" s="4" t="n">
        <v>300</v>
      </c>
      <c r="F381" s="6" t="s">
        <v>47</v>
      </c>
      <c r="G381" s="4" t="n">
        <v>6</v>
      </c>
      <c r="H381" s="7" t="s">
        <v>421</v>
      </c>
      <c r="I381" s="4"/>
      <c r="J381" s="4" t="n">
        <v>140</v>
      </c>
      <c r="K381" s="4"/>
      <c r="L381" s="4" t="n">
        <v>450</v>
      </c>
    </row>
    <row r="382" customFormat="false" ht="24" hidden="false" customHeight="true" outlineLevel="0" collapsed="false">
      <c r="A382" s="3" t="n">
        <v>46467</v>
      </c>
      <c r="B382" s="4" t="s">
        <v>32</v>
      </c>
      <c r="C382" s="8" t="s">
        <v>7</v>
      </c>
      <c r="D382" s="6" t="s">
        <v>298</v>
      </c>
      <c r="E382" s="4" t="n">
        <v>20</v>
      </c>
      <c r="F382" s="6" t="s">
        <v>47</v>
      </c>
      <c r="G382" s="4" t="n">
        <v>4</v>
      </c>
      <c r="H382" s="7" t="s">
        <v>299</v>
      </c>
      <c r="I382" s="4" t="n">
        <v>3.5</v>
      </c>
      <c r="J382" s="4"/>
      <c r="K382" s="4"/>
      <c r="L382" s="4"/>
    </row>
    <row r="383" customFormat="false" ht="36" hidden="false" customHeight="true" outlineLevel="0" collapsed="false">
      <c r="A383" s="3" t="n">
        <v>46467</v>
      </c>
      <c r="B383" s="4" t="s">
        <v>32</v>
      </c>
      <c r="C383" s="10" t="s">
        <v>27</v>
      </c>
      <c r="D383" s="6" t="s">
        <v>109</v>
      </c>
      <c r="E383" s="4" t="n">
        <v>71</v>
      </c>
      <c r="F383" s="6" t="s">
        <v>4</v>
      </c>
      <c r="G383" s="4" t="n">
        <v>7</v>
      </c>
      <c r="H383" s="7" t="s">
        <v>422</v>
      </c>
      <c r="I383" s="4"/>
      <c r="J383" s="4"/>
      <c r="K383" s="4" t="n">
        <v>2450</v>
      </c>
      <c r="L383" s="4"/>
    </row>
    <row r="384" customFormat="false" ht="15" hidden="false" customHeight="true" outlineLevel="0" collapsed="false">
      <c r="A384" s="11"/>
      <c r="B384" s="11"/>
      <c r="C384" s="11"/>
      <c r="D384" s="11"/>
      <c r="E384" s="11"/>
      <c r="F384" s="11"/>
      <c r="G384" s="11"/>
      <c r="H384" s="12" t="s">
        <v>35</v>
      </c>
      <c r="I384" s="11" t="n">
        <f aca="false">SUM(I371:I383)</f>
        <v>60</v>
      </c>
      <c r="J384" s="11" t="n">
        <f aca="false">SUM(J371:J383)</f>
        <v>290</v>
      </c>
      <c r="K384" s="11" t="n">
        <f aca="false">SUM(K371:K383)</f>
        <v>8200</v>
      </c>
      <c r="L384" s="11"/>
    </row>
    <row r="385" customFormat="false" ht="24" hidden="false" customHeight="true" outlineLevel="0" collapsed="false">
      <c r="A385" s="14" t="s">
        <v>423</v>
      </c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</row>
    <row r="386" customFormat="false" ht="24" hidden="false" customHeight="true" outlineLevel="0" collapsed="false">
      <c r="A386" s="3" t="n">
        <v>46468</v>
      </c>
      <c r="B386" s="4" t="s">
        <v>1</v>
      </c>
      <c r="C386" s="5" t="s">
        <v>2</v>
      </c>
      <c r="D386" s="6" t="s">
        <v>3</v>
      </c>
      <c r="E386" s="4" t="s">
        <v>4</v>
      </c>
      <c r="F386" s="6" t="s">
        <v>4</v>
      </c>
      <c r="G386" s="4" t="n">
        <v>1</v>
      </c>
      <c r="H386" s="7" t="s">
        <v>56</v>
      </c>
      <c r="I386" s="4"/>
      <c r="J386" s="4"/>
      <c r="K386" s="4"/>
      <c r="L386" s="4"/>
    </row>
    <row r="387" customFormat="false" ht="108" hidden="false" customHeight="true" outlineLevel="0" collapsed="false">
      <c r="A387" s="3" t="n">
        <v>46469</v>
      </c>
      <c r="B387" s="4" t="s">
        <v>6</v>
      </c>
      <c r="C387" s="8" t="s">
        <v>7</v>
      </c>
      <c r="D387" s="6" t="s">
        <v>424</v>
      </c>
      <c r="E387" s="4" t="n">
        <v>60</v>
      </c>
      <c r="F387" s="6" t="s">
        <v>43</v>
      </c>
      <c r="G387" s="4" t="n">
        <v>6</v>
      </c>
      <c r="H387" s="7" t="s">
        <v>425</v>
      </c>
      <c r="I387" s="4" t="n">
        <v>10.5</v>
      </c>
      <c r="J387" s="4"/>
      <c r="K387" s="4"/>
      <c r="L387" s="4" t="n">
        <v>48</v>
      </c>
    </row>
    <row r="388" customFormat="false" ht="24" hidden="false" customHeight="true" outlineLevel="0" collapsed="false">
      <c r="A388" s="3" t="n">
        <v>46469</v>
      </c>
      <c r="B388" s="4" t="s">
        <v>6</v>
      </c>
      <c r="C388" s="9" t="s">
        <v>11</v>
      </c>
      <c r="D388" s="6" t="s">
        <v>59</v>
      </c>
      <c r="E388" s="4" t="n">
        <v>43</v>
      </c>
      <c r="F388" s="6" t="s">
        <v>9</v>
      </c>
      <c r="G388" s="4" t="n">
        <v>2</v>
      </c>
      <c r="H388" s="7" t="s">
        <v>97</v>
      </c>
      <c r="I388" s="4"/>
      <c r="J388" s="4" t="n">
        <v>20</v>
      </c>
      <c r="K388" s="4"/>
      <c r="L388" s="4" t="n">
        <v>26</v>
      </c>
    </row>
    <row r="389" customFormat="false" ht="60" hidden="false" customHeight="true" outlineLevel="0" collapsed="false">
      <c r="A389" s="3" t="n">
        <v>46470</v>
      </c>
      <c r="B389" s="4" t="s">
        <v>14</v>
      </c>
      <c r="C389" s="9" t="s">
        <v>11</v>
      </c>
      <c r="D389" s="6" t="s">
        <v>320</v>
      </c>
      <c r="E389" s="4" t="n">
        <v>94</v>
      </c>
      <c r="F389" s="6" t="s">
        <v>43</v>
      </c>
      <c r="G389" s="4" t="n">
        <v>5</v>
      </c>
      <c r="H389" s="7" t="s">
        <v>426</v>
      </c>
      <c r="I389" s="4"/>
      <c r="J389" s="4" t="n">
        <v>44</v>
      </c>
      <c r="K389" s="4"/>
      <c r="L389" s="4" t="n">
        <v>177</v>
      </c>
    </row>
    <row r="390" customFormat="false" ht="24" hidden="false" customHeight="true" outlineLevel="0" collapsed="false">
      <c r="A390" s="3" t="n">
        <v>46471</v>
      </c>
      <c r="B390" s="4" t="s">
        <v>17</v>
      </c>
      <c r="C390" s="8" t="s">
        <v>7</v>
      </c>
      <c r="D390" s="6" t="s">
        <v>18</v>
      </c>
      <c r="E390" s="4" t="n">
        <v>59</v>
      </c>
      <c r="F390" s="6" t="s">
        <v>19</v>
      </c>
      <c r="G390" s="4" t="n">
        <v>2</v>
      </c>
      <c r="H390" s="7" t="s">
        <v>427</v>
      </c>
      <c r="I390" s="4" t="n">
        <v>9.5</v>
      </c>
      <c r="J390" s="4"/>
      <c r="K390" s="4"/>
      <c r="L390" s="4" t="n">
        <v>26</v>
      </c>
    </row>
    <row r="391" customFormat="false" ht="36" hidden="false" customHeight="true" outlineLevel="0" collapsed="false">
      <c r="A391" s="3" t="n">
        <v>46471</v>
      </c>
      <c r="B391" s="4" t="s">
        <v>17</v>
      </c>
      <c r="C391" s="10" t="s">
        <v>27</v>
      </c>
      <c r="D391" s="6" t="s">
        <v>277</v>
      </c>
      <c r="E391" s="4" t="n">
        <v>47</v>
      </c>
      <c r="F391" s="6" t="s">
        <v>4</v>
      </c>
      <c r="G391" s="4" t="n">
        <v>2</v>
      </c>
      <c r="H391" s="7" t="s">
        <v>428</v>
      </c>
      <c r="I391" s="4"/>
      <c r="J391" s="4"/>
      <c r="K391" s="4" t="n">
        <v>1550</v>
      </c>
      <c r="L391" s="4"/>
    </row>
    <row r="392" customFormat="false" ht="24" hidden="false" customHeight="true" outlineLevel="0" collapsed="false">
      <c r="A392" s="3" t="n">
        <v>46472</v>
      </c>
      <c r="B392" s="4" t="s">
        <v>21</v>
      </c>
      <c r="C392" s="8" t="s">
        <v>7</v>
      </c>
      <c r="D392" s="6" t="s">
        <v>22</v>
      </c>
      <c r="E392" s="4" t="n">
        <v>33</v>
      </c>
      <c r="F392" s="6" t="s">
        <v>19</v>
      </c>
      <c r="G392" s="4" t="n">
        <v>2</v>
      </c>
      <c r="H392" s="7" t="s">
        <v>266</v>
      </c>
      <c r="I392" s="4" t="n">
        <v>5</v>
      </c>
      <c r="J392" s="4"/>
      <c r="K392" s="4"/>
      <c r="L392" s="4" t="n">
        <v>20</v>
      </c>
    </row>
    <row r="393" customFormat="false" ht="48" hidden="false" customHeight="true" outlineLevel="0" collapsed="false">
      <c r="A393" s="3" t="n">
        <v>46472</v>
      </c>
      <c r="B393" s="4" t="s">
        <v>21</v>
      </c>
      <c r="C393" s="9" t="s">
        <v>11</v>
      </c>
      <c r="D393" s="6" t="s">
        <v>46</v>
      </c>
      <c r="E393" s="4" t="n">
        <v>77</v>
      </c>
      <c r="F393" s="6" t="s">
        <v>47</v>
      </c>
      <c r="G393" s="4" t="n">
        <v>3</v>
      </c>
      <c r="H393" s="7" t="s">
        <v>429</v>
      </c>
      <c r="I393" s="4"/>
      <c r="J393" s="4" t="n">
        <v>36</v>
      </c>
      <c r="K393" s="4"/>
      <c r="L393" s="4" t="n">
        <v>104</v>
      </c>
    </row>
    <row r="394" customFormat="false" ht="48" hidden="false" customHeight="true" outlineLevel="0" collapsed="false">
      <c r="A394" s="3" t="n">
        <v>46473</v>
      </c>
      <c r="B394" s="4" t="s">
        <v>26</v>
      </c>
      <c r="C394" s="10" t="s">
        <v>27</v>
      </c>
      <c r="D394" s="6" t="s">
        <v>103</v>
      </c>
      <c r="E394" s="4" t="n">
        <v>73</v>
      </c>
      <c r="F394" s="6" t="s">
        <v>4</v>
      </c>
      <c r="G394" s="4" t="n">
        <v>5</v>
      </c>
      <c r="H394" s="7" t="s">
        <v>430</v>
      </c>
      <c r="I394" s="4"/>
      <c r="J394" s="4"/>
      <c r="K394" s="4" t="n">
        <v>2500</v>
      </c>
      <c r="L394" s="4"/>
    </row>
    <row r="395" customFormat="false" ht="36" hidden="false" customHeight="true" outlineLevel="0" collapsed="false">
      <c r="A395" s="3" t="n">
        <v>46473</v>
      </c>
      <c r="B395" s="4" t="s">
        <v>26</v>
      </c>
      <c r="C395" s="8" t="s">
        <v>7</v>
      </c>
      <c r="D395" s="6" t="s">
        <v>231</v>
      </c>
      <c r="E395" s="4" t="n">
        <v>105</v>
      </c>
      <c r="F395" s="6" t="s">
        <v>9</v>
      </c>
      <c r="G395" s="4" t="n">
        <v>6</v>
      </c>
      <c r="H395" s="7" t="s">
        <v>431</v>
      </c>
      <c r="I395" s="4" t="n">
        <v>17</v>
      </c>
      <c r="J395" s="4"/>
      <c r="K395" s="4"/>
      <c r="L395" s="4" t="n">
        <v>84</v>
      </c>
    </row>
    <row r="396" customFormat="false" ht="48" hidden="false" customHeight="true" outlineLevel="0" collapsed="false">
      <c r="A396" s="3" t="n">
        <v>46474</v>
      </c>
      <c r="B396" s="4" t="s">
        <v>32</v>
      </c>
      <c r="C396" s="9" t="s">
        <v>11</v>
      </c>
      <c r="D396" s="6" t="s">
        <v>107</v>
      </c>
      <c r="E396" s="4" t="n">
        <v>214</v>
      </c>
      <c r="F396" s="6" t="s">
        <v>47</v>
      </c>
      <c r="G396" s="4" t="n">
        <v>4</v>
      </c>
      <c r="H396" s="7" t="s">
        <v>432</v>
      </c>
      <c r="I396" s="4"/>
      <c r="J396" s="4" t="n">
        <v>100</v>
      </c>
      <c r="K396" s="4"/>
      <c r="L396" s="4" t="n">
        <v>321</v>
      </c>
    </row>
    <row r="397" customFormat="false" ht="36" hidden="false" customHeight="true" outlineLevel="0" collapsed="false">
      <c r="A397" s="3" t="n">
        <v>46474</v>
      </c>
      <c r="B397" s="4" t="s">
        <v>32</v>
      </c>
      <c r="C397" s="10" t="s">
        <v>27</v>
      </c>
      <c r="D397" s="6" t="s">
        <v>33</v>
      </c>
      <c r="E397" s="4" t="n">
        <v>47</v>
      </c>
      <c r="F397" s="6" t="s">
        <v>4</v>
      </c>
      <c r="G397" s="4" t="n">
        <v>4</v>
      </c>
      <c r="H397" s="7" t="s">
        <v>433</v>
      </c>
      <c r="I397" s="4"/>
      <c r="J397" s="4"/>
      <c r="K397" s="4" t="n">
        <v>1750</v>
      </c>
      <c r="L397" s="4"/>
    </row>
    <row r="398" customFormat="false" ht="15" hidden="false" customHeight="true" outlineLevel="0" collapsed="false">
      <c r="A398" s="11"/>
      <c r="B398" s="11"/>
      <c r="C398" s="11"/>
      <c r="D398" s="11"/>
      <c r="E398" s="11"/>
      <c r="F398" s="11"/>
      <c r="G398" s="11"/>
      <c r="H398" s="12" t="s">
        <v>35</v>
      </c>
      <c r="I398" s="11" t="n">
        <f aca="false">SUM(I386:I397)</f>
        <v>42</v>
      </c>
      <c r="J398" s="11" t="n">
        <f aca="false">SUM(J386:J397)</f>
        <v>200</v>
      </c>
      <c r="K398" s="11" t="n">
        <f aca="false">SUM(K386:K397)</f>
        <v>5800</v>
      </c>
      <c r="L398" s="11"/>
    </row>
    <row r="399" customFormat="false" ht="48" hidden="false" customHeight="true" outlineLevel="0" collapsed="false">
      <c r="A399" s="16" t="s">
        <v>434</v>
      </c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</row>
    <row r="400" customFormat="false" ht="24" hidden="false" customHeight="true" outlineLevel="0" collapsed="false">
      <c r="A400" s="3" t="n">
        <v>46475</v>
      </c>
      <c r="B400" s="4" t="s">
        <v>1</v>
      </c>
      <c r="C400" s="5" t="s">
        <v>2</v>
      </c>
      <c r="D400" s="6" t="s">
        <v>3</v>
      </c>
      <c r="E400" s="4" t="s">
        <v>4</v>
      </c>
      <c r="F400" s="6" t="s">
        <v>4</v>
      </c>
      <c r="G400" s="4" t="n">
        <v>1</v>
      </c>
      <c r="H400" s="7" t="s">
        <v>56</v>
      </c>
      <c r="I400" s="4"/>
      <c r="J400" s="4"/>
      <c r="K400" s="4"/>
      <c r="L400" s="4"/>
    </row>
    <row r="401" customFormat="false" ht="96" hidden="false" customHeight="true" outlineLevel="0" collapsed="false">
      <c r="A401" s="3" t="n">
        <v>46476</v>
      </c>
      <c r="B401" s="4" t="s">
        <v>6</v>
      </c>
      <c r="C401" s="8" t="s">
        <v>7</v>
      </c>
      <c r="D401" s="6" t="s">
        <v>343</v>
      </c>
      <c r="E401" s="4" t="n">
        <v>78</v>
      </c>
      <c r="F401" s="6" t="s">
        <v>39</v>
      </c>
      <c r="G401" s="4" t="n">
        <v>7</v>
      </c>
      <c r="H401" s="7" t="s">
        <v>435</v>
      </c>
      <c r="I401" s="4" t="n">
        <v>15</v>
      </c>
      <c r="J401" s="4"/>
      <c r="K401" s="4"/>
      <c r="L401" s="4" t="n">
        <v>72</v>
      </c>
    </row>
    <row r="402" customFormat="false" ht="24" hidden="false" customHeight="true" outlineLevel="0" collapsed="false">
      <c r="A402" s="3" t="n">
        <v>46476</v>
      </c>
      <c r="B402" s="4" t="s">
        <v>6</v>
      </c>
      <c r="C402" s="9" t="s">
        <v>11</v>
      </c>
      <c r="D402" s="6" t="s">
        <v>59</v>
      </c>
      <c r="E402" s="4" t="n">
        <v>60</v>
      </c>
      <c r="F402" s="6" t="s">
        <v>9</v>
      </c>
      <c r="G402" s="4" t="n">
        <v>2</v>
      </c>
      <c r="H402" s="7" t="s">
        <v>377</v>
      </c>
      <c r="I402" s="4"/>
      <c r="J402" s="4" t="n">
        <v>28</v>
      </c>
      <c r="K402" s="4"/>
      <c r="L402" s="4" t="n">
        <v>36</v>
      </c>
    </row>
    <row r="403" customFormat="false" ht="60" hidden="false" customHeight="true" outlineLevel="0" collapsed="false">
      <c r="A403" s="3" t="n">
        <v>46477</v>
      </c>
      <c r="B403" s="4" t="s">
        <v>14</v>
      </c>
      <c r="C403" s="9" t="s">
        <v>11</v>
      </c>
      <c r="D403" s="6" t="s">
        <v>436</v>
      </c>
      <c r="E403" s="4" t="n">
        <v>150</v>
      </c>
      <c r="F403" s="6" t="s">
        <v>47</v>
      </c>
      <c r="G403" s="4" t="n">
        <v>6</v>
      </c>
      <c r="H403" s="7" t="s">
        <v>437</v>
      </c>
      <c r="I403" s="4"/>
      <c r="J403" s="4" t="n">
        <v>70</v>
      </c>
      <c r="K403" s="4"/>
      <c r="L403" s="4" t="n">
        <v>301</v>
      </c>
    </row>
    <row r="404" customFormat="false" ht="24" hidden="false" customHeight="true" outlineLevel="0" collapsed="false">
      <c r="A404" s="3" t="n">
        <v>46478</v>
      </c>
      <c r="B404" s="4" t="s">
        <v>17</v>
      </c>
      <c r="C404" s="8" t="s">
        <v>7</v>
      </c>
      <c r="D404" s="6" t="s">
        <v>22</v>
      </c>
      <c r="E404" s="4" t="n">
        <v>83</v>
      </c>
      <c r="F404" s="6" t="s">
        <v>9</v>
      </c>
      <c r="G404" s="4" t="n">
        <v>4</v>
      </c>
      <c r="H404" s="7" t="s">
        <v>363</v>
      </c>
      <c r="I404" s="4" t="n">
        <v>13.5</v>
      </c>
      <c r="J404" s="4"/>
      <c r="K404" s="4"/>
      <c r="L404" s="4" t="n">
        <v>26</v>
      </c>
    </row>
    <row r="405" customFormat="false" ht="36" hidden="false" customHeight="true" outlineLevel="0" collapsed="false">
      <c r="A405" s="3" t="n">
        <v>46478</v>
      </c>
      <c r="B405" s="4" t="s">
        <v>17</v>
      </c>
      <c r="C405" s="10" t="s">
        <v>27</v>
      </c>
      <c r="D405" s="6" t="s">
        <v>277</v>
      </c>
      <c r="E405" s="4" t="n">
        <v>68</v>
      </c>
      <c r="F405" s="6" t="s">
        <v>4</v>
      </c>
      <c r="G405" s="4" t="n">
        <v>2</v>
      </c>
      <c r="H405" s="7" t="s">
        <v>364</v>
      </c>
      <c r="I405" s="4"/>
      <c r="J405" s="4"/>
      <c r="K405" s="4" t="n">
        <v>2300</v>
      </c>
      <c r="L405" s="4"/>
    </row>
    <row r="406" customFormat="false" ht="24" hidden="false" customHeight="true" outlineLevel="0" collapsed="false">
      <c r="A406" s="3" t="n">
        <v>46479</v>
      </c>
      <c r="B406" s="4" t="s">
        <v>21</v>
      </c>
      <c r="C406" s="8" t="s">
        <v>7</v>
      </c>
      <c r="D406" s="6" t="s">
        <v>22</v>
      </c>
      <c r="E406" s="4" t="n">
        <v>40</v>
      </c>
      <c r="F406" s="6" t="s">
        <v>19</v>
      </c>
      <c r="G406" s="4" t="n">
        <v>2</v>
      </c>
      <c r="H406" s="7" t="s">
        <v>416</v>
      </c>
      <c r="I406" s="4" t="n">
        <v>6</v>
      </c>
      <c r="J406" s="4"/>
      <c r="K406" s="4"/>
      <c r="L406" s="4" t="n">
        <v>20</v>
      </c>
    </row>
    <row r="407" customFormat="false" ht="48" hidden="false" customHeight="true" outlineLevel="0" collapsed="false">
      <c r="A407" s="3" t="n">
        <v>46479</v>
      </c>
      <c r="B407" s="4" t="s">
        <v>21</v>
      </c>
      <c r="C407" s="9" t="s">
        <v>11</v>
      </c>
      <c r="D407" s="6" t="s">
        <v>65</v>
      </c>
      <c r="E407" s="4" t="n">
        <v>122</v>
      </c>
      <c r="F407" s="6" t="s">
        <v>47</v>
      </c>
      <c r="G407" s="4" t="n">
        <v>5</v>
      </c>
      <c r="H407" s="7" t="s">
        <v>438</v>
      </c>
      <c r="I407" s="4"/>
      <c r="J407" s="4" t="n">
        <v>57</v>
      </c>
      <c r="K407" s="4"/>
      <c r="L407" s="4" t="n">
        <v>165</v>
      </c>
    </row>
    <row r="408" customFormat="false" ht="48" hidden="false" customHeight="true" outlineLevel="0" collapsed="false">
      <c r="A408" s="3" t="n">
        <v>46480</v>
      </c>
      <c r="B408" s="4" t="s">
        <v>26</v>
      </c>
      <c r="C408" s="10" t="s">
        <v>27</v>
      </c>
      <c r="D408" s="6" t="s">
        <v>103</v>
      </c>
      <c r="E408" s="4" t="n">
        <v>99</v>
      </c>
      <c r="F408" s="6" t="s">
        <v>4</v>
      </c>
      <c r="G408" s="4" t="n">
        <v>5</v>
      </c>
      <c r="H408" s="7" t="s">
        <v>439</v>
      </c>
      <c r="I408" s="4"/>
      <c r="J408" s="4"/>
      <c r="K408" s="4" t="n">
        <v>3700</v>
      </c>
      <c r="L408" s="4"/>
    </row>
    <row r="409" customFormat="false" ht="36" hidden="false" customHeight="true" outlineLevel="0" collapsed="false">
      <c r="A409" s="3" t="n">
        <v>46480</v>
      </c>
      <c r="B409" s="4" t="s">
        <v>26</v>
      </c>
      <c r="C409" s="8" t="s">
        <v>7</v>
      </c>
      <c r="D409" s="6" t="s">
        <v>440</v>
      </c>
      <c r="E409" s="4" t="n">
        <v>154</v>
      </c>
      <c r="F409" s="6" t="s">
        <v>47</v>
      </c>
      <c r="G409" s="4" t="n">
        <v>7</v>
      </c>
      <c r="H409" s="7" t="s">
        <v>441</v>
      </c>
      <c r="I409" s="4" t="n">
        <v>25</v>
      </c>
      <c r="J409" s="4"/>
      <c r="K409" s="4"/>
      <c r="L409" s="4" t="n">
        <v>123</v>
      </c>
    </row>
    <row r="410" customFormat="false" ht="36" hidden="false" customHeight="true" outlineLevel="0" collapsed="false">
      <c r="A410" s="3" t="n">
        <v>46481</v>
      </c>
      <c r="B410" s="4" t="s">
        <v>32</v>
      </c>
      <c r="C410" s="9" t="s">
        <v>11</v>
      </c>
      <c r="D410" s="6" t="s">
        <v>369</v>
      </c>
      <c r="E410" s="4" t="n">
        <v>321</v>
      </c>
      <c r="F410" s="6" t="s">
        <v>47</v>
      </c>
      <c r="G410" s="4" t="n">
        <v>6</v>
      </c>
      <c r="H410" s="7" t="s">
        <v>370</v>
      </c>
      <c r="I410" s="4"/>
      <c r="J410" s="4" t="n">
        <v>150</v>
      </c>
      <c r="K410" s="4"/>
      <c r="L410" s="4" t="n">
        <v>482</v>
      </c>
    </row>
    <row r="411" customFormat="false" ht="24" hidden="false" customHeight="true" outlineLevel="0" collapsed="false">
      <c r="A411" s="3" t="n">
        <v>46481</v>
      </c>
      <c r="B411" s="4" t="s">
        <v>32</v>
      </c>
      <c r="C411" s="8" t="s">
        <v>7</v>
      </c>
      <c r="D411" s="6" t="s">
        <v>371</v>
      </c>
      <c r="E411" s="4" t="n">
        <v>25</v>
      </c>
      <c r="F411" s="6" t="s">
        <v>47</v>
      </c>
      <c r="G411" s="4" t="n">
        <v>4</v>
      </c>
      <c r="H411" s="7" t="s">
        <v>372</v>
      </c>
      <c r="I411" s="4" t="n">
        <v>4.5</v>
      </c>
      <c r="J411" s="4"/>
      <c r="K411" s="4"/>
      <c r="L411" s="4"/>
    </row>
    <row r="412" customFormat="false" ht="36" hidden="false" customHeight="true" outlineLevel="0" collapsed="false">
      <c r="A412" s="3" t="n">
        <v>46481</v>
      </c>
      <c r="B412" s="4" t="s">
        <v>32</v>
      </c>
      <c r="C412" s="10" t="s">
        <v>27</v>
      </c>
      <c r="D412" s="6" t="s">
        <v>166</v>
      </c>
      <c r="E412" s="4" t="n">
        <v>68</v>
      </c>
      <c r="F412" s="6" t="s">
        <v>4</v>
      </c>
      <c r="G412" s="4" t="n">
        <v>6</v>
      </c>
      <c r="H412" s="7" t="s">
        <v>373</v>
      </c>
      <c r="I412" s="4"/>
      <c r="J412" s="4"/>
      <c r="K412" s="4" t="n">
        <v>2600</v>
      </c>
      <c r="L412" s="4"/>
    </row>
    <row r="413" customFormat="false" ht="15" hidden="false" customHeight="true" outlineLevel="0" collapsed="false">
      <c r="A413" s="11"/>
      <c r="B413" s="11"/>
      <c r="C413" s="11"/>
      <c r="D413" s="11"/>
      <c r="E413" s="11"/>
      <c r="F413" s="11"/>
      <c r="G413" s="11"/>
      <c r="H413" s="12" t="s">
        <v>35</v>
      </c>
      <c r="I413" s="11" t="n">
        <f aca="false">SUM(I400:I412)</f>
        <v>64</v>
      </c>
      <c r="J413" s="11" t="n">
        <f aca="false">SUM(J400:J412)</f>
        <v>305</v>
      </c>
      <c r="K413" s="11" t="n">
        <f aca="false">SUM(K400:K412)</f>
        <v>8600</v>
      </c>
      <c r="L413" s="11"/>
    </row>
    <row r="414" customFormat="false" ht="48" hidden="false" customHeight="true" outlineLevel="0" collapsed="false">
      <c r="A414" s="16" t="s">
        <v>442</v>
      </c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</row>
    <row r="415" customFormat="false" ht="24" hidden="false" customHeight="true" outlineLevel="0" collapsed="false">
      <c r="A415" s="3" t="n">
        <v>46482</v>
      </c>
      <c r="B415" s="4" t="s">
        <v>1</v>
      </c>
      <c r="C415" s="5" t="s">
        <v>2</v>
      </c>
      <c r="D415" s="6" t="s">
        <v>3</v>
      </c>
      <c r="E415" s="4" t="s">
        <v>4</v>
      </c>
      <c r="F415" s="6" t="s">
        <v>4</v>
      </c>
      <c r="G415" s="4" t="n">
        <v>1</v>
      </c>
      <c r="H415" s="7" t="s">
        <v>56</v>
      </c>
      <c r="I415" s="4"/>
      <c r="J415" s="4"/>
      <c r="K415" s="4"/>
      <c r="L415" s="4"/>
    </row>
    <row r="416" customFormat="false" ht="84" hidden="false" customHeight="true" outlineLevel="0" collapsed="false">
      <c r="A416" s="3" t="n">
        <v>46483</v>
      </c>
      <c r="B416" s="4" t="s">
        <v>6</v>
      </c>
      <c r="C416" s="8" t="s">
        <v>7</v>
      </c>
      <c r="D416" s="6" t="s">
        <v>411</v>
      </c>
      <c r="E416" s="4" t="n">
        <v>80</v>
      </c>
      <c r="F416" s="6" t="s">
        <v>43</v>
      </c>
      <c r="G416" s="4" t="n">
        <v>6</v>
      </c>
      <c r="H416" s="7" t="s">
        <v>412</v>
      </c>
      <c r="I416" s="4" t="n">
        <v>14</v>
      </c>
      <c r="J416" s="4"/>
      <c r="K416" s="4"/>
      <c r="L416" s="4" t="n">
        <v>75</v>
      </c>
    </row>
    <row r="417" customFormat="false" ht="24" hidden="false" customHeight="true" outlineLevel="0" collapsed="false">
      <c r="A417" s="3" t="n">
        <v>46483</v>
      </c>
      <c r="B417" s="4" t="s">
        <v>6</v>
      </c>
      <c r="C417" s="9" t="s">
        <v>11</v>
      </c>
      <c r="D417" s="6" t="s">
        <v>59</v>
      </c>
      <c r="E417" s="4" t="n">
        <v>60</v>
      </c>
      <c r="F417" s="6" t="s">
        <v>9</v>
      </c>
      <c r="G417" s="4" t="n">
        <v>2</v>
      </c>
      <c r="H417" s="7" t="s">
        <v>377</v>
      </c>
      <c r="I417" s="4"/>
      <c r="J417" s="4" t="n">
        <v>28</v>
      </c>
      <c r="K417" s="4"/>
      <c r="L417" s="4" t="n">
        <v>36</v>
      </c>
    </row>
    <row r="418" customFormat="false" ht="60" hidden="false" customHeight="true" outlineLevel="0" collapsed="false">
      <c r="A418" s="3" t="n">
        <v>46484</v>
      </c>
      <c r="B418" s="4" t="s">
        <v>14</v>
      </c>
      <c r="C418" s="9" t="s">
        <v>11</v>
      </c>
      <c r="D418" s="6" t="s">
        <v>212</v>
      </c>
      <c r="E418" s="4" t="n">
        <v>163</v>
      </c>
      <c r="F418" s="6" t="s">
        <v>43</v>
      </c>
      <c r="G418" s="4" t="n">
        <v>6</v>
      </c>
      <c r="H418" s="7" t="s">
        <v>443</v>
      </c>
      <c r="I418" s="4"/>
      <c r="J418" s="4" t="n">
        <v>76</v>
      </c>
      <c r="K418" s="4"/>
      <c r="L418" s="4" t="n">
        <v>322</v>
      </c>
    </row>
    <row r="419" customFormat="false" ht="24" hidden="false" customHeight="true" outlineLevel="0" collapsed="false">
      <c r="A419" s="3" t="n">
        <v>46485</v>
      </c>
      <c r="B419" s="4" t="s">
        <v>17</v>
      </c>
      <c r="C419" s="8" t="s">
        <v>7</v>
      </c>
      <c r="D419" s="6" t="s">
        <v>22</v>
      </c>
      <c r="E419" s="4" t="n">
        <v>80</v>
      </c>
      <c r="F419" s="6" t="s">
        <v>9</v>
      </c>
      <c r="G419" s="4" t="n">
        <v>4</v>
      </c>
      <c r="H419" s="7" t="s">
        <v>414</v>
      </c>
      <c r="I419" s="4" t="n">
        <v>13</v>
      </c>
      <c r="J419" s="4"/>
      <c r="K419" s="4"/>
      <c r="L419" s="4" t="n">
        <v>26</v>
      </c>
    </row>
    <row r="420" customFormat="false" ht="36" hidden="false" customHeight="true" outlineLevel="0" collapsed="false">
      <c r="A420" s="3" t="n">
        <v>46485</v>
      </c>
      <c r="B420" s="4" t="s">
        <v>17</v>
      </c>
      <c r="C420" s="10" t="s">
        <v>27</v>
      </c>
      <c r="D420" s="6" t="s">
        <v>277</v>
      </c>
      <c r="E420" s="4" t="n">
        <v>81</v>
      </c>
      <c r="F420" s="6" t="s">
        <v>4</v>
      </c>
      <c r="G420" s="4" t="n">
        <v>2</v>
      </c>
      <c r="H420" s="7" t="s">
        <v>444</v>
      </c>
      <c r="I420" s="4"/>
      <c r="J420" s="4"/>
      <c r="K420" s="4" t="n">
        <v>2800</v>
      </c>
      <c r="L420" s="4"/>
    </row>
    <row r="421" customFormat="false" ht="24" hidden="false" customHeight="true" outlineLevel="0" collapsed="false">
      <c r="A421" s="3" t="n">
        <v>46486</v>
      </c>
      <c r="B421" s="4" t="s">
        <v>21</v>
      </c>
      <c r="C421" s="8" t="s">
        <v>7</v>
      </c>
      <c r="D421" s="6" t="s">
        <v>22</v>
      </c>
      <c r="E421" s="4" t="n">
        <v>40</v>
      </c>
      <c r="F421" s="6" t="s">
        <v>19</v>
      </c>
      <c r="G421" s="4" t="n">
        <v>2</v>
      </c>
      <c r="H421" s="7" t="s">
        <v>416</v>
      </c>
      <c r="I421" s="4" t="n">
        <v>6</v>
      </c>
      <c r="J421" s="4"/>
      <c r="K421" s="4"/>
      <c r="L421" s="4" t="n">
        <v>20</v>
      </c>
    </row>
    <row r="422" customFormat="false" ht="48" hidden="false" customHeight="true" outlineLevel="0" collapsed="false">
      <c r="A422" s="3" t="n">
        <v>46486</v>
      </c>
      <c r="B422" s="4" t="s">
        <v>21</v>
      </c>
      <c r="C422" s="9" t="s">
        <v>11</v>
      </c>
      <c r="D422" s="6" t="s">
        <v>65</v>
      </c>
      <c r="E422" s="4" t="n">
        <v>131</v>
      </c>
      <c r="F422" s="6" t="s">
        <v>47</v>
      </c>
      <c r="G422" s="4" t="n">
        <v>5</v>
      </c>
      <c r="H422" s="7" t="s">
        <v>445</v>
      </c>
      <c r="I422" s="4"/>
      <c r="J422" s="4" t="n">
        <v>61</v>
      </c>
      <c r="K422" s="4"/>
      <c r="L422" s="4" t="n">
        <v>177</v>
      </c>
    </row>
    <row r="423" customFormat="false" ht="24" hidden="false" customHeight="true" outlineLevel="0" collapsed="false">
      <c r="A423" s="3" t="n">
        <v>46487</v>
      </c>
      <c r="B423" s="4" t="s">
        <v>26</v>
      </c>
      <c r="C423" s="10" t="s">
        <v>27</v>
      </c>
      <c r="D423" s="6" t="s">
        <v>446</v>
      </c>
      <c r="E423" s="4" t="n">
        <v>70</v>
      </c>
      <c r="F423" s="6" t="s">
        <v>4</v>
      </c>
      <c r="G423" s="4" t="n">
        <v>4</v>
      </c>
      <c r="H423" s="7" t="s">
        <v>447</v>
      </c>
      <c r="I423" s="4"/>
      <c r="J423" s="4"/>
      <c r="K423" s="4" t="n">
        <v>3000</v>
      </c>
      <c r="L423" s="4"/>
    </row>
    <row r="424" customFormat="false" ht="36" hidden="false" customHeight="true" outlineLevel="0" collapsed="false">
      <c r="A424" s="3" t="n">
        <v>46487</v>
      </c>
      <c r="B424" s="4" t="s">
        <v>26</v>
      </c>
      <c r="C424" s="9" t="s">
        <v>11</v>
      </c>
      <c r="D424" s="6" t="s">
        <v>448</v>
      </c>
      <c r="E424" s="4" t="n">
        <v>300</v>
      </c>
      <c r="F424" s="6" t="s">
        <v>47</v>
      </c>
      <c r="G424" s="4" t="n">
        <v>7</v>
      </c>
      <c r="H424" s="7" t="s">
        <v>449</v>
      </c>
      <c r="I424" s="4"/>
      <c r="J424" s="4" t="n">
        <v>140</v>
      </c>
      <c r="K424" s="4"/>
      <c r="L424" s="4" t="n">
        <v>480</v>
      </c>
    </row>
    <row r="425" customFormat="false" ht="24" hidden="false" customHeight="true" outlineLevel="0" collapsed="false">
      <c r="A425" s="3" t="n">
        <v>46487</v>
      </c>
      <c r="B425" s="4" t="s">
        <v>26</v>
      </c>
      <c r="C425" s="8" t="s">
        <v>7</v>
      </c>
      <c r="D425" s="6" t="s">
        <v>450</v>
      </c>
      <c r="E425" s="4" t="n">
        <v>76</v>
      </c>
      <c r="F425" s="6" t="s">
        <v>47</v>
      </c>
      <c r="G425" s="4" t="n">
        <v>6</v>
      </c>
      <c r="H425" s="7" t="s">
        <v>451</v>
      </c>
      <c r="I425" s="4" t="n">
        <v>13</v>
      </c>
      <c r="J425" s="4"/>
      <c r="K425" s="4"/>
      <c r="L425" s="4" t="n">
        <v>83</v>
      </c>
    </row>
    <row r="426" customFormat="false" ht="36" hidden="false" customHeight="true" outlineLevel="0" collapsed="false">
      <c r="A426" s="3" t="n">
        <v>46488</v>
      </c>
      <c r="B426" s="4" t="s">
        <v>32</v>
      </c>
      <c r="C426" s="10" t="s">
        <v>27</v>
      </c>
      <c r="D426" s="6" t="s">
        <v>277</v>
      </c>
      <c r="E426" s="4" t="n">
        <v>81</v>
      </c>
      <c r="F426" s="6" t="s">
        <v>4</v>
      </c>
      <c r="G426" s="4" t="n">
        <v>2</v>
      </c>
      <c r="H426" s="7" t="s">
        <v>444</v>
      </c>
      <c r="I426" s="4"/>
      <c r="J426" s="4"/>
      <c r="K426" s="4" t="n">
        <v>2800</v>
      </c>
      <c r="L426" s="4"/>
    </row>
    <row r="427" customFormat="false" ht="15" hidden="false" customHeight="true" outlineLevel="0" collapsed="false">
      <c r="A427" s="11"/>
      <c r="B427" s="11"/>
      <c r="C427" s="11"/>
      <c r="D427" s="11"/>
      <c r="E427" s="11"/>
      <c r="F427" s="11"/>
      <c r="G427" s="11"/>
      <c r="H427" s="12" t="s">
        <v>35</v>
      </c>
      <c r="I427" s="11" t="n">
        <f aca="false">SUM(I415:I426)</f>
        <v>46</v>
      </c>
      <c r="J427" s="11" t="n">
        <f aca="false">SUM(J415:J426)</f>
        <v>305</v>
      </c>
      <c r="K427" s="11" t="n">
        <f aca="false">SUM(K415:K426)</f>
        <v>8600</v>
      </c>
      <c r="L427" s="11"/>
    </row>
    <row r="428" customFormat="false" ht="15" hidden="false" customHeight="true" outlineLevel="0" collapsed="false">
      <c r="A428" s="16" t="s">
        <v>452</v>
      </c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</row>
    <row r="429" customFormat="false" ht="60" hidden="false" customHeight="true" outlineLevel="0" collapsed="false">
      <c r="A429" s="3" t="n">
        <v>46489</v>
      </c>
      <c r="B429" s="4" t="s">
        <v>1</v>
      </c>
      <c r="C429" s="5" t="s">
        <v>2</v>
      </c>
      <c r="D429" s="6" t="s">
        <v>3</v>
      </c>
      <c r="E429" s="4" t="s">
        <v>4</v>
      </c>
      <c r="F429" s="6" t="s">
        <v>4</v>
      </c>
      <c r="G429" s="4" t="n">
        <v>1</v>
      </c>
      <c r="H429" s="7" t="s">
        <v>56</v>
      </c>
      <c r="I429" s="4"/>
      <c r="J429" s="4"/>
      <c r="K429" s="4"/>
      <c r="L429" s="4"/>
    </row>
    <row r="430" customFormat="false" ht="168" hidden="false" customHeight="true" outlineLevel="0" collapsed="false">
      <c r="A430" s="3" t="n">
        <v>46490</v>
      </c>
      <c r="B430" s="4" t="s">
        <v>6</v>
      </c>
      <c r="C430" s="8" t="s">
        <v>7</v>
      </c>
      <c r="D430" s="6" t="s">
        <v>358</v>
      </c>
      <c r="E430" s="4" t="n">
        <v>80</v>
      </c>
      <c r="F430" s="6" t="s">
        <v>39</v>
      </c>
      <c r="G430" s="4" t="n">
        <v>7</v>
      </c>
      <c r="H430" s="7" t="s">
        <v>453</v>
      </c>
      <c r="I430" s="4" t="n">
        <v>14</v>
      </c>
      <c r="J430" s="4"/>
      <c r="K430" s="4"/>
      <c r="L430" s="4" t="n">
        <v>75</v>
      </c>
    </row>
    <row r="431" customFormat="false" ht="24" hidden="false" customHeight="true" outlineLevel="0" collapsed="false">
      <c r="A431" s="3" t="n">
        <v>46490</v>
      </c>
      <c r="B431" s="4" t="s">
        <v>6</v>
      </c>
      <c r="C431" s="9" t="s">
        <v>11</v>
      </c>
      <c r="D431" s="6" t="s">
        <v>59</v>
      </c>
      <c r="E431" s="4" t="n">
        <v>60</v>
      </c>
      <c r="F431" s="6" t="s">
        <v>9</v>
      </c>
      <c r="G431" s="4" t="n">
        <v>2</v>
      </c>
      <c r="H431" s="7" t="s">
        <v>377</v>
      </c>
      <c r="I431" s="4"/>
      <c r="J431" s="4" t="n">
        <v>28</v>
      </c>
      <c r="K431" s="4"/>
      <c r="L431" s="4" t="n">
        <v>36</v>
      </c>
    </row>
    <row r="432" customFormat="false" ht="60" hidden="false" customHeight="true" outlineLevel="0" collapsed="false">
      <c r="A432" s="3" t="n">
        <v>46491</v>
      </c>
      <c r="B432" s="4" t="s">
        <v>14</v>
      </c>
      <c r="C432" s="9" t="s">
        <v>11</v>
      </c>
      <c r="D432" s="6" t="s">
        <v>240</v>
      </c>
      <c r="E432" s="4" t="n">
        <v>150</v>
      </c>
      <c r="F432" s="6" t="s">
        <v>43</v>
      </c>
      <c r="G432" s="4" t="n">
        <v>6</v>
      </c>
      <c r="H432" s="7" t="s">
        <v>454</v>
      </c>
      <c r="I432" s="4"/>
      <c r="J432" s="4" t="n">
        <v>70</v>
      </c>
      <c r="K432" s="4"/>
      <c r="L432" s="4" t="n">
        <v>296</v>
      </c>
    </row>
    <row r="433" customFormat="false" ht="24" hidden="false" customHeight="true" outlineLevel="0" collapsed="false">
      <c r="A433" s="3" t="n">
        <v>46492</v>
      </c>
      <c r="B433" s="4" t="s">
        <v>17</v>
      </c>
      <c r="C433" s="8" t="s">
        <v>7</v>
      </c>
      <c r="D433" s="6" t="s">
        <v>22</v>
      </c>
      <c r="E433" s="4" t="n">
        <v>80</v>
      </c>
      <c r="F433" s="6" t="s">
        <v>9</v>
      </c>
      <c r="G433" s="4" t="n">
        <v>4</v>
      </c>
      <c r="H433" s="7" t="s">
        <v>414</v>
      </c>
      <c r="I433" s="4" t="n">
        <v>13</v>
      </c>
      <c r="J433" s="4"/>
      <c r="K433" s="4"/>
      <c r="L433" s="4" t="n">
        <v>26</v>
      </c>
    </row>
    <row r="434" customFormat="false" ht="36" hidden="false" customHeight="true" outlineLevel="0" collapsed="false">
      <c r="A434" s="3" t="n">
        <v>46492</v>
      </c>
      <c r="B434" s="4" t="s">
        <v>17</v>
      </c>
      <c r="C434" s="10" t="s">
        <v>27</v>
      </c>
      <c r="D434" s="6" t="s">
        <v>277</v>
      </c>
      <c r="E434" s="4" t="n">
        <v>64</v>
      </c>
      <c r="F434" s="6" t="s">
        <v>4</v>
      </c>
      <c r="G434" s="4" t="n">
        <v>2</v>
      </c>
      <c r="H434" s="7" t="s">
        <v>455</v>
      </c>
      <c r="I434" s="4"/>
      <c r="J434" s="4"/>
      <c r="K434" s="4" t="n">
        <v>2150</v>
      </c>
      <c r="L434" s="4"/>
    </row>
    <row r="435" customFormat="false" ht="24" hidden="false" customHeight="true" outlineLevel="0" collapsed="false">
      <c r="A435" s="3" t="n">
        <v>46493</v>
      </c>
      <c r="B435" s="4" t="s">
        <v>21</v>
      </c>
      <c r="C435" s="8" t="s">
        <v>7</v>
      </c>
      <c r="D435" s="6" t="s">
        <v>22</v>
      </c>
      <c r="E435" s="4" t="n">
        <v>40</v>
      </c>
      <c r="F435" s="6" t="s">
        <v>19</v>
      </c>
      <c r="G435" s="4" t="n">
        <v>2</v>
      </c>
      <c r="H435" s="7" t="s">
        <v>416</v>
      </c>
      <c r="I435" s="4" t="n">
        <v>6</v>
      </c>
      <c r="J435" s="4"/>
      <c r="K435" s="4"/>
      <c r="L435" s="4" t="n">
        <v>20</v>
      </c>
    </row>
    <row r="436" customFormat="false" ht="48" hidden="false" customHeight="true" outlineLevel="0" collapsed="false">
      <c r="A436" s="3" t="n">
        <v>46493</v>
      </c>
      <c r="B436" s="4" t="s">
        <v>21</v>
      </c>
      <c r="C436" s="9" t="s">
        <v>11</v>
      </c>
      <c r="D436" s="6" t="s">
        <v>65</v>
      </c>
      <c r="E436" s="4" t="n">
        <v>122</v>
      </c>
      <c r="F436" s="6" t="s">
        <v>47</v>
      </c>
      <c r="G436" s="4" t="n">
        <v>5</v>
      </c>
      <c r="H436" s="7" t="s">
        <v>438</v>
      </c>
      <c r="I436" s="4"/>
      <c r="J436" s="4" t="n">
        <v>57</v>
      </c>
      <c r="K436" s="4"/>
      <c r="L436" s="4" t="n">
        <v>165</v>
      </c>
    </row>
    <row r="437" customFormat="false" ht="48" hidden="false" customHeight="true" outlineLevel="0" collapsed="false">
      <c r="A437" s="3" t="n">
        <v>46494</v>
      </c>
      <c r="B437" s="4" t="s">
        <v>26</v>
      </c>
      <c r="C437" s="10" t="s">
        <v>27</v>
      </c>
      <c r="D437" s="6" t="s">
        <v>103</v>
      </c>
      <c r="E437" s="4" t="n">
        <v>94</v>
      </c>
      <c r="F437" s="6" t="s">
        <v>4</v>
      </c>
      <c r="G437" s="4" t="n">
        <v>5</v>
      </c>
      <c r="H437" s="7" t="s">
        <v>456</v>
      </c>
      <c r="I437" s="4"/>
      <c r="J437" s="4"/>
      <c r="K437" s="4" t="n">
        <v>3450</v>
      </c>
      <c r="L437" s="4"/>
    </row>
    <row r="438" customFormat="false" ht="36" hidden="false" customHeight="true" outlineLevel="0" collapsed="false">
      <c r="A438" s="3" t="n">
        <v>46494</v>
      </c>
      <c r="B438" s="4" t="s">
        <v>26</v>
      </c>
      <c r="C438" s="8" t="s">
        <v>7</v>
      </c>
      <c r="D438" s="6" t="s">
        <v>337</v>
      </c>
      <c r="E438" s="4" t="n">
        <v>136</v>
      </c>
      <c r="F438" s="6" t="s">
        <v>47</v>
      </c>
      <c r="G438" s="4" t="n">
        <v>6</v>
      </c>
      <c r="H438" s="7" t="s">
        <v>338</v>
      </c>
      <c r="I438" s="4" t="n">
        <v>22</v>
      </c>
      <c r="J438" s="4"/>
      <c r="K438" s="4"/>
      <c r="L438" s="4" t="n">
        <v>109</v>
      </c>
    </row>
    <row r="439" customFormat="false" ht="36" hidden="false" customHeight="true" outlineLevel="0" collapsed="false">
      <c r="A439" s="3" t="n">
        <v>46495</v>
      </c>
      <c r="B439" s="4" t="s">
        <v>32</v>
      </c>
      <c r="C439" s="9" t="s">
        <v>11</v>
      </c>
      <c r="D439" s="6" t="s">
        <v>233</v>
      </c>
      <c r="E439" s="4" t="n">
        <v>279</v>
      </c>
      <c r="F439" s="6" t="s">
        <v>47</v>
      </c>
      <c r="G439" s="4" t="n">
        <v>6</v>
      </c>
      <c r="H439" s="7" t="s">
        <v>457</v>
      </c>
      <c r="I439" s="4"/>
      <c r="J439" s="4" t="n">
        <v>130</v>
      </c>
      <c r="K439" s="4"/>
      <c r="L439" s="4" t="n">
        <v>418</v>
      </c>
    </row>
    <row r="440" customFormat="false" ht="24" hidden="false" customHeight="true" outlineLevel="0" collapsed="false">
      <c r="A440" s="3" t="n">
        <v>46495</v>
      </c>
      <c r="B440" s="4" t="s">
        <v>32</v>
      </c>
      <c r="C440" s="8" t="s">
        <v>7</v>
      </c>
      <c r="D440" s="6" t="s">
        <v>458</v>
      </c>
      <c r="E440" s="4" t="n">
        <v>30</v>
      </c>
      <c r="F440" s="6" t="s">
        <v>47</v>
      </c>
      <c r="G440" s="4" t="n">
        <v>4</v>
      </c>
      <c r="H440" s="7" t="s">
        <v>459</v>
      </c>
      <c r="I440" s="4" t="n">
        <v>5</v>
      </c>
      <c r="J440" s="4"/>
      <c r="K440" s="4"/>
      <c r="L440" s="4"/>
    </row>
    <row r="441" customFormat="false" ht="36" hidden="false" customHeight="true" outlineLevel="0" collapsed="false">
      <c r="A441" s="3" t="n">
        <v>46495</v>
      </c>
      <c r="B441" s="4" t="s">
        <v>32</v>
      </c>
      <c r="C441" s="10" t="s">
        <v>27</v>
      </c>
      <c r="D441" s="6" t="s">
        <v>33</v>
      </c>
      <c r="E441" s="4" t="n">
        <v>62</v>
      </c>
      <c r="F441" s="6" t="s">
        <v>4</v>
      </c>
      <c r="G441" s="4" t="n">
        <v>4</v>
      </c>
      <c r="H441" s="7" t="s">
        <v>460</v>
      </c>
      <c r="I441" s="4"/>
      <c r="J441" s="4"/>
      <c r="K441" s="4" t="n">
        <v>2400</v>
      </c>
      <c r="L441" s="4"/>
    </row>
    <row r="442" customFormat="false" ht="15" hidden="false" customHeight="true" outlineLevel="0" collapsed="false">
      <c r="A442" s="11"/>
      <c r="B442" s="11"/>
      <c r="C442" s="11"/>
      <c r="D442" s="11"/>
      <c r="E442" s="11"/>
      <c r="F442" s="11"/>
      <c r="G442" s="11"/>
      <c r="H442" s="12" t="s">
        <v>35</v>
      </c>
      <c r="I442" s="11" t="n">
        <f aca="false">SUM(I429:I441)</f>
        <v>60</v>
      </c>
      <c r="J442" s="11" t="n">
        <f aca="false">SUM(J429:J441)</f>
        <v>285</v>
      </c>
      <c r="K442" s="11" t="n">
        <f aca="false">SUM(K429:K441)</f>
        <v>8000</v>
      </c>
      <c r="L442" s="11"/>
    </row>
    <row r="443" customFormat="false" ht="15" hidden="false" customHeight="true" outlineLevel="0" collapsed="false">
      <c r="A443" s="22" t="s">
        <v>461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customFormat="false" ht="15" hidden="false" customHeight="true" outlineLevel="0" collapsed="false">
      <c r="A444" s="3" t="n">
        <v>46496</v>
      </c>
      <c r="B444" s="4" t="s">
        <v>1</v>
      </c>
      <c r="C444" s="23" t="s">
        <v>2</v>
      </c>
      <c r="D444" s="6" t="s">
        <v>3</v>
      </c>
      <c r="E444" s="4" t="s">
        <v>4</v>
      </c>
      <c r="F444" s="6" t="s">
        <v>4</v>
      </c>
      <c r="G444" s="4" t="n">
        <v>1</v>
      </c>
      <c r="H444" s="7" t="s">
        <v>56</v>
      </c>
      <c r="I444" s="4"/>
      <c r="J444" s="4"/>
      <c r="K444" s="4"/>
      <c r="L444" s="4"/>
    </row>
    <row r="445" customFormat="false" ht="96" hidden="false" customHeight="true" outlineLevel="0" collapsed="false">
      <c r="A445" s="3" t="n">
        <v>46497</v>
      </c>
      <c r="B445" s="4" t="s">
        <v>6</v>
      </c>
      <c r="C445" s="8" t="s">
        <v>7</v>
      </c>
      <c r="D445" s="6" t="s">
        <v>330</v>
      </c>
      <c r="E445" s="4" t="n">
        <v>69</v>
      </c>
      <c r="F445" s="6" t="s">
        <v>39</v>
      </c>
      <c r="G445" s="4" t="n">
        <v>7</v>
      </c>
      <c r="H445" s="7" t="s">
        <v>462</v>
      </c>
      <c r="I445" s="4" t="n">
        <v>13</v>
      </c>
      <c r="J445" s="4"/>
      <c r="K445" s="4"/>
      <c r="L445" s="4" t="n">
        <v>60</v>
      </c>
    </row>
    <row r="446" customFormat="false" ht="24" hidden="false" customHeight="true" outlineLevel="0" collapsed="false">
      <c r="A446" s="3" t="n">
        <v>46497</v>
      </c>
      <c r="B446" s="4" t="s">
        <v>6</v>
      </c>
      <c r="C446" s="9" t="s">
        <v>11</v>
      </c>
      <c r="D446" s="6" t="s">
        <v>59</v>
      </c>
      <c r="E446" s="4" t="n">
        <v>60</v>
      </c>
      <c r="F446" s="6" t="s">
        <v>9</v>
      </c>
      <c r="G446" s="4" t="n">
        <v>2</v>
      </c>
      <c r="H446" s="7" t="s">
        <v>377</v>
      </c>
      <c r="I446" s="4"/>
      <c r="J446" s="4" t="n">
        <v>28</v>
      </c>
      <c r="K446" s="4"/>
      <c r="L446" s="4" t="n">
        <v>28</v>
      </c>
    </row>
    <row r="447" customFormat="false" ht="60" hidden="false" customHeight="true" outlineLevel="0" collapsed="false">
      <c r="A447" s="3" t="n">
        <v>46498</v>
      </c>
      <c r="B447" s="4" t="s">
        <v>14</v>
      </c>
      <c r="C447" s="9" t="s">
        <v>11</v>
      </c>
      <c r="D447" s="6" t="s">
        <v>212</v>
      </c>
      <c r="E447" s="4" t="n">
        <v>132</v>
      </c>
      <c r="F447" s="6" t="s">
        <v>43</v>
      </c>
      <c r="G447" s="4" t="n">
        <v>6</v>
      </c>
      <c r="H447" s="7" t="s">
        <v>463</v>
      </c>
      <c r="I447" s="4"/>
      <c r="J447" s="4" t="n">
        <v>60</v>
      </c>
      <c r="K447" s="4"/>
      <c r="L447" s="4" t="n">
        <v>181</v>
      </c>
    </row>
    <row r="448" customFormat="false" ht="36" hidden="false" customHeight="true" outlineLevel="0" collapsed="false">
      <c r="A448" s="3" t="n">
        <v>46499</v>
      </c>
      <c r="B448" s="4" t="s">
        <v>17</v>
      </c>
      <c r="C448" s="10" t="s">
        <v>27</v>
      </c>
      <c r="D448" s="6" t="s">
        <v>277</v>
      </c>
      <c r="E448" s="4" t="n">
        <v>73</v>
      </c>
      <c r="F448" s="6" t="s">
        <v>4</v>
      </c>
      <c r="G448" s="4" t="n">
        <v>2</v>
      </c>
      <c r="H448" s="7" t="s">
        <v>351</v>
      </c>
      <c r="I448" s="4"/>
      <c r="J448" s="4"/>
      <c r="K448" s="4" t="n">
        <v>2500</v>
      </c>
      <c r="L448" s="4"/>
    </row>
    <row r="449" customFormat="false" ht="24" hidden="false" customHeight="true" outlineLevel="0" collapsed="false">
      <c r="A449" s="3" t="n">
        <v>46499</v>
      </c>
      <c r="B449" s="4" t="s">
        <v>17</v>
      </c>
      <c r="C449" s="8" t="s">
        <v>7</v>
      </c>
      <c r="D449" s="6" t="s">
        <v>18</v>
      </c>
      <c r="E449" s="4" t="n">
        <v>61</v>
      </c>
      <c r="F449" s="6" t="s">
        <v>19</v>
      </c>
      <c r="G449" s="4" t="n">
        <v>2</v>
      </c>
      <c r="H449" s="7" t="s">
        <v>464</v>
      </c>
      <c r="I449" s="4" t="n">
        <v>10</v>
      </c>
      <c r="J449" s="4"/>
      <c r="K449" s="4"/>
      <c r="L449" s="4" t="n">
        <v>26</v>
      </c>
    </row>
    <row r="450" customFormat="false" ht="24" hidden="false" customHeight="true" outlineLevel="0" collapsed="false">
      <c r="A450" s="3" t="n">
        <v>46500</v>
      </c>
      <c r="B450" s="4" t="s">
        <v>21</v>
      </c>
      <c r="C450" s="8" t="s">
        <v>7</v>
      </c>
      <c r="D450" s="6" t="s">
        <v>22</v>
      </c>
      <c r="E450" s="4" t="n">
        <v>20</v>
      </c>
      <c r="F450" s="6" t="s">
        <v>19</v>
      </c>
      <c r="G450" s="4" t="n">
        <v>2</v>
      </c>
      <c r="H450" s="7" t="s">
        <v>202</v>
      </c>
      <c r="I450" s="4" t="n">
        <v>3</v>
      </c>
      <c r="J450" s="4"/>
      <c r="K450" s="4"/>
      <c r="L450" s="4" t="n">
        <v>20</v>
      </c>
    </row>
    <row r="451" customFormat="false" ht="48" hidden="false" customHeight="true" outlineLevel="0" collapsed="false">
      <c r="A451" s="3" t="n">
        <v>46500</v>
      </c>
      <c r="B451" s="4" t="s">
        <v>21</v>
      </c>
      <c r="C451" s="9" t="s">
        <v>11</v>
      </c>
      <c r="D451" s="6" t="s">
        <v>46</v>
      </c>
      <c r="E451" s="4" t="n">
        <v>51</v>
      </c>
      <c r="F451" s="6" t="s">
        <v>47</v>
      </c>
      <c r="G451" s="4" t="n">
        <v>3</v>
      </c>
      <c r="H451" s="7" t="s">
        <v>465</v>
      </c>
      <c r="I451" s="4"/>
      <c r="J451" s="4" t="n">
        <v>24</v>
      </c>
      <c r="K451" s="4"/>
      <c r="L451" s="4" t="n">
        <v>69</v>
      </c>
    </row>
    <row r="452" customFormat="false" ht="24" hidden="false" customHeight="true" outlineLevel="0" collapsed="false">
      <c r="A452" s="3" t="n">
        <v>46501</v>
      </c>
      <c r="B452" s="4" t="s">
        <v>26</v>
      </c>
      <c r="C452" s="10" t="s">
        <v>27</v>
      </c>
      <c r="D452" s="6" t="s">
        <v>466</v>
      </c>
      <c r="E452" s="4" t="n">
        <v>44</v>
      </c>
      <c r="F452" s="6" t="s">
        <v>4</v>
      </c>
      <c r="G452" s="4" t="n">
        <v>3</v>
      </c>
      <c r="H452" s="7" t="s">
        <v>467</v>
      </c>
      <c r="I452" s="4"/>
      <c r="J452" s="4"/>
      <c r="K452" s="4" t="n">
        <v>1500</v>
      </c>
      <c r="L452" s="4"/>
    </row>
    <row r="453" customFormat="false" ht="15" hidden="false" customHeight="true" outlineLevel="0" collapsed="false">
      <c r="A453" s="3" t="n">
        <v>46501</v>
      </c>
      <c r="B453" s="4" t="s">
        <v>26</v>
      </c>
      <c r="C453" s="8" t="s">
        <v>7</v>
      </c>
      <c r="D453" s="6" t="s">
        <v>468</v>
      </c>
      <c r="E453" s="4" t="n">
        <v>15</v>
      </c>
      <c r="F453" s="6" t="s">
        <v>19</v>
      </c>
      <c r="G453" s="4" t="n">
        <v>2</v>
      </c>
      <c r="H453" s="7" t="s">
        <v>469</v>
      </c>
      <c r="I453" s="4" t="n">
        <v>2.5</v>
      </c>
      <c r="J453" s="4"/>
      <c r="K453" s="4"/>
      <c r="L453" s="4" t="n">
        <v>10</v>
      </c>
    </row>
    <row r="454" customFormat="false" ht="36" hidden="false" customHeight="true" outlineLevel="0" collapsed="false">
      <c r="A454" s="3" t="n">
        <v>46501</v>
      </c>
      <c r="B454" s="4" t="s">
        <v>26</v>
      </c>
      <c r="C454" s="9" t="s">
        <v>11</v>
      </c>
      <c r="D454" s="6" t="s">
        <v>470</v>
      </c>
      <c r="E454" s="4" t="n">
        <v>15</v>
      </c>
      <c r="F454" s="6" t="s">
        <v>19</v>
      </c>
      <c r="G454" s="4" t="n">
        <v>2</v>
      </c>
      <c r="H454" s="7" t="s">
        <v>471</v>
      </c>
      <c r="I454" s="4"/>
      <c r="J454" s="4" t="n">
        <v>7</v>
      </c>
      <c r="K454" s="4"/>
      <c r="L454" s="4" t="n">
        <v>10</v>
      </c>
    </row>
    <row r="455" customFormat="false" ht="36.75" hidden="false" customHeight="true" outlineLevel="0" collapsed="false">
      <c r="A455" s="3" t="n">
        <v>46502</v>
      </c>
      <c r="B455" s="19" t="s">
        <v>32</v>
      </c>
      <c r="C455" s="10" t="s">
        <v>7</v>
      </c>
      <c r="D455" s="19" t="s">
        <v>472</v>
      </c>
      <c r="E455" s="19" t="s">
        <v>4</v>
      </c>
      <c r="F455" s="19" t="s">
        <v>9</v>
      </c>
      <c r="G455" s="19" t="n">
        <v>3</v>
      </c>
      <c r="H455" s="24" t="s">
        <v>473</v>
      </c>
      <c r="I455" s="19" t="n">
        <v>21</v>
      </c>
      <c r="J455" s="19" t="n">
        <v>85</v>
      </c>
      <c r="K455" s="19" t="n">
        <v>1900</v>
      </c>
    </row>
    <row r="456" customFormat="false" ht="15" hidden="false" customHeight="true" outlineLevel="0" collapsed="false">
      <c r="A456" s="11"/>
      <c r="B456" s="11"/>
      <c r="C456" s="11"/>
      <c r="D456" s="11"/>
      <c r="E456" s="11"/>
      <c r="F456" s="11"/>
      <c r="G456" s="11"/>
      <c r="H456" s="12" t="s">
        <v>35</v>
      </c>
      <c r="I456" s="11" t="n">
        <f aca="false">SUM(I444:I455)</f>
        <v>49.5</v>
      </c>
      <c r="J456" s="11" t="n">
        <f aca="false">SUM(J444:J455)</f>
        <v>204</v>
      </c>
      <c r="K456" s="11" t="n">
        <f aca="false">SUM(K444:K455)</f>
        <v>5900</v>
      </c>
      <c r="L456" s="11"/>
    </row>
    <row r="457" customFormat="false" ht="15" hidden="false" customHeight="true" outlineLevel="0" collapsed="false">
      <c r="A457" s="25" t="s">
        <v>474</v>
      </c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customFormat="false" ht="15" hidden="false" customHeight="true" outlineLevel="0" collapsed="false">
      <c r="A458" s="3" t="n">
        <v>46503</v>
      </c>
      <c r="B458" s="4" t="s">
        <v>1</v>
      </c>
      <c r="C458" s="23" t="s">
        <v>2</v>
      </c>
      <c r="D458" s="6" t="s">
        <v>3</v>
      </c>
      <c r="E458" s="4" t="s">
        <v>4</v>
      </c>
      <c r="F458" s="6" t="s">
        <v>4</v>
      </c>
      <c r="G458" s="4" t="n">
        <v>1</v>
      </c>
      <c r="H458" s="7" t="s">
        <v>475</v>
      </c>
      <c r="I458" s="4"/>
      <c r="J458" s="4"/>
      <c r="K458" s="4"/>
      <c r="L458" s="4"/>
    </row>
    <row r="459" customFormat="false" ht="15" hidden="false" customHeight="true" outlineLevel="0" collapsed="false">
      <c r="A459" s="3" t="n">
        <v>46504</v>
      </c>
      <c r="B459" s="4" t="s">
        <v>6</v>
      </c>
      <c r="C459" s="8" t="s">
        <v>7</v>
      </c>
      <c r="D459" s="6" t="s">
        <v>476</v>
      </c>
      <c r="E459" s="4" t="n">
        <v>46</v>
      </c>
      <c r="F459" s="6" t="s">
        <v>19</v>
      </c>
      <c r="G459" s="4" t="n">
        <v>2</v>
      </c>
      <c r="H459" s="7" t="s">
        <v>477</v>
      </c>
      <c r="I459" s="4" t="n">
        <v>7.5</v>
      </c>
      <c r="J459" s="4"/>
      <c r="K459" s="4"/>
      <c r="L459" s="4" t="n">
        <v>37</v>
      </c>
    </row>
    <row r="460" customFormat="false" ht="24" hidden="false" customHeight="true" outlineLevel="0" collapsed="false">
      <c r="A460" s="3" t="n">
        <v>46504</v>
      </c>
      <c r="B460" s="4" t="s">
        <v>6</v>
      </c>
      <c r="C460" s="9" t="s">
        <v>11</v>
      </c>
      <c r="D460" s="6" t="s">
        <v>59</v>
      </c>
      <c r="E460" s="4" t="n">
        <v>59</v>
      </c>
      <c r="F460" s="6" t="s">
        <v>9</v>
      </c>
      <c r="G460" s="4" t="n">
        <v>2</v>
      </c>
      <c r="H460" s="7" t="s">
        <v>478</v>
      </c>
      <c r="I460" s="4"/>
      <c r="J460" s="4" t="n">
        <v>27.5</v>
      </c>
      <c r="K460" s="4"/>
      <c r="L460" s="4" t="n">
        <v>35</v>
      </c>
    </row>
    <row r="461" customFormat="false" ht="36" hidden="false" customHeight="true" outlineLevel="0" collapsed="false">
      <c r="A461" s="3" t="n">
        <v>46506</v>
      </c>
      <c r="B461" s="4" t="s">
        <v>17</v>
      </c>
      <c r="C461" s="10" t="s">
        <v>27</v>
      </c>
      <c r="D461" s="6" t="s">
        <v>277</v>
      </c>
      <c r="E461" s="4" t="n">
        <v>46</v>
      </c>
      <c r="F461" s="6" t="s">
        <v>4</v>
      </c>
      <c r="G461" s="4" t="n">
        <v>2</v>
      </c>
      <c r="H461" s="7" t="s">
        <v>479</v>
      </c>
      <c r="I461" s="4"/>
      <c r="J461" s="4"/>
      <c r="K461" s="4" t="n">
        <v>1500</v>
      </c>
      <c r="L461" s="4"/>
    </row>
    <row r="462" customFormat="false" ht="24" hidden="false" customHeight="true" outlineLevel="0" collapsed="false">
      <c r="A462" s="3" t="n">
        <v>46506</v>
      </c>
      <c r="B462" s="4" t="s">
        <v>17</v>
      </c>
      <c r="C462" s="8" t="s">
        <v>7</v>
      </c>
      <c r="D462" s="6" t="s">
        <v>18</v>
      </c>
      <c r="E462" s="4" t="n">
        <v>40</v>
      </c>
      <c r="F462" s="6" t="s">
        <v>19</v>
      </c>
      <c r="G462" s="4" t="n">
        <v>2</v>
      </c>
      <c r="H462" s="7" t="s">
        <v>480</v>
      </c>
      <c r="I462" s="4" t="n">
        <v>6.5</v>
      </c>
      <c r="J462" s="4"/>
      <c r="K462" s="4"/>
      <c r="L462" s="4" t="n">
        <v>26</v>
      </c>
    </row>
    <row r="463" customFormat="false" ht="24" hidden="false" customHeight="true" outlineLevel="0" collapsed="false">
      <c r="A463" s="3" t="n">
        <v>46507</v>
      </c>
      <c r="B463" s="4" t="s">
        <v>21</v>
      </c>
      <c r="C463" s="8" t="s">
        <v>7</v>
      </c>
      <c r="D463" s="6" t="s">
        <v>22</v>
      </c>
      <c r="E463" s="4" t="n">
        <v>27</v>
      </c>
      <c r="F463" s="6" t="s">
        <v>19</v>
      </c>
      <c r="G463" s="4" t="n">
        <v>2</v>
      </c>
      <c r="H463" s="7" t="s">
        <v>159</v>
      </c>
      <c r="I463" s="4" t="n">
        <v>4</v>
      </c>
      <c r="J463" s="4"/>
      <c r="K463" s="4"/>
      <c r="L463" s="4" t="n">
        <v>20</v>
      </c>
    </row>
    <row r="464" customFormat="false" ht="24" hidden="false" customHeight="true" outlineLevel="0" collapsed="false">
      <c r="A464" s="3" t="n">
        <v>46507</v>
      </c>
      <c r="B464" s="4" t="s">
        <v>21</v>
      </c>
      <c r="C464" s="9" t="s">
        <v>11</v>
      </c>
      <c r="D464" s="6" t="s">
        <v>481</v>
      </c>
      <c r="E464" s="4" t="n">
        <v>59</v>
      </c>
      <c r="F464" s="6" t="s">
        <v>9</v>
      </c>
      <c r="G464" s="4" t="n">
        <v>2</v>
      </c>
      <c r="H464" s="7" t="s">
        <v>482</v>
      </c>
      <c r="I464" s="4"/>
      <c r="J464" s="4" t="n">
        <v>27.5</v>
      </c>
      <c r="K464" s="4"/>
      <c r="L464" s="4" t="n">
        <v>41</v>
      </c>
    </row>
    <row r="465" customFormat="false" ht="36" hidden="false" customHeight="true" outlineLevel="0" collapsed="false">
      <c r="A465" s="3" t="n">
        <v>46508</v>
      </c>
      <c r="B465" s="4" t="s">
        <v>26</v>
      </c>
      <c r="C465" s="10" t="s">
        <v>27</v>
      </c>
      <c r="D465" s="6" t="s">
        <v>28</v>
      </c>
      <c r="E465" s="4" t="n">
        <v>59</v>
      </c>
      <c r="F465" s="6" t="s">
        <v>4</v>
      </c>
      <c r="G465" s="4" t="n">
        <v>3</v>
      </c>
      <c r="H465" s="7" t="s">
        <v>483</v>
      </c>
      <c r="I465" s="4"/>
      <c r="J465" s="4"/>
      <c r="K465" s="4" t="n">
        <v>1800</v>
      </c>
      <c r="L465" s="4"/>
    </row>
    <row r="466" customFormat="false" ht="15" hidden="false" customHeight="true" outlineLevel="0" collapsed="false">
      <c r="A466" s="3" t="n">
        <v>46508</v>
      </c>
      <c r="B466" s="4" t="s">
        <v>26</v>
      </c>
      <c r="C466" s="9" t="s">
        <v>11</v>
      </c>
      <c r="D466" s="6" t="s">
        <v>484</v>
      </c>
      <c r="E466" s="4" t="n">
        <v>118</v>
      </c>
      <c r="F466" s="6" t="s">
        <v>19</v>
      </c>
      <c r="G466" s="4" t="n">
        <v>2</v>
      </c>
      <c r="H466" s="7" t="s">
        <v>485</v>
      </c>
      <c r="I466" s="4"/>
      <c r="J466" s="4" t="n">
        <v>55</v>
      </c>
      <c r="K466" s="4"/>
      <c r="L466" s="4" t="n">
        <v>83</v>
      </c>
    </row>
    <row r="467" customFormat="false" ht="24" hidden="false" customHeight="true" outlineLevel="0" collapsed="false">
      <c r="A467" s="3" t="n">
        <v>46509</v>
      </c>
      <c r="B467" s="4" t="s">
        <v>32</v>
      </c>
      <c r="C467" s="8" t="s">
        <v>7</v>
      </c>
      <c r="D467" s="6" t="s">
        <v>105</v>
      </c>
      <c r="E467" s="4" t="n">
        <v>62</v>
      </c>
      <c r="F467" s="6" t="s">
        <v>9</v>
      </c>
      <c r="G467" s="4" t="n">
        <v>5</v>
      </c>
      <c r="H467" s="7" t="s">
        <v>205</v>
      </c>
      <c r="I467" s="4" t="n">
        <v>10</v>
      </c>
      <c r="J467" s="4"/>
      <c r="K467" s="4"/>
      <c r="L467" s="4" t="n">
        <v>50</v>
      </c>
    </row>
    <row r="468" customFormat="false" ht="36" hidden="false" customHeight="true" outlineLevel="0" collapsed="false">
      <c r="A468" s="3" t="n">
        <v>46509</v>
      </c>
      <c r="B468" s="4" t="s">
        <v>32</v>
      </c>
      <c r="C468" s="10" t="s">
        <v>27</v>
      </c>
      <c r="D468" s="6" t="s">
        <v>33</v>
      </c>
      <c r="E468" s="4" t="n">
        <v>35</v>
      </c>
      <c r="F468" s="6" t="s">
        <v>4</v>
      </c>
      <c r="G468" s="4" t="n">
        <v>4</v>
      </c>
      <c r="H468" s="7" t="s">
        <v>486</v>
      </c>
      <c r="I468" s="4"/>
      <c r="J468" s="4"/>
      <c r="K468" s="4" t="n">
        <v>1200</v>
      </c>
      <c r="L468" s="4"/>
    </row>
    <row r="469" customFormat="false" ht="15" hidden="false" customHeight="true" outlineLevel="0" collapsed="false">
      <c r="A469" s="11"/>
      <c r="B469" s="11"/>
      <c r="C469" s="11"/>
      <c r="D469" s="11"/>
      <c r="E469" s="11"/>
      <c r="F469" s="11"/>
      <c r="G469" s="11"/>
      <c r="H469" s="12" t="s">
        <v>35</v>
      </c>
      <c r="I469" s="11" t="n">
        <f aca="false">SUM(I458:I468)</f>
        <v>28</v>
      </c>
      <c r="J469" s="11" t="n">
        <f aca="false">SUM(J458:J468)</f>
        <v>110</v>
      </c>
      <c r="K469" s="11" t="n">
        <f aca="false">SUM(K458:K468)</f>
        <v>4500</v>
      </c>
      <c r="L469" s="11"/>
    </row>
    <row r="470" customFormat="false" ht="15" hidden="false" customHeight="true" outlineLevel="0" collapsed="false">
      <c r="A470" s="25" t="s">
        <v>487</v>
      </c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customFormat="false" ht="15" hidden="false" customHeight="true" outlineLevel="0" collapsed="false">
      <c r="A471" s="3" t="n">
        <v>46510</v>
      </c>
      <c r="B471" s="4" t="s">
        <v>1</v>
      </c>
      <c r="C471" s="23" t="s">
        <v>2</v>
      </c>
      <c r="D471" s="6" t="s">
        <v>3</v>
      </c>
      <c r="E471" s="4" t="s">
        <v>4</v>
      </c>
      <c r="F471" s="6" t="s">
        <v>4</v>
      </c>
      <c r="G471" s="4" t="n">
        <v>1</v>
      </c>
      <c r="H471" s="7" t="s">
        <v>56</v>
      </c>
      <c r="I471" s="4"/>
      <c r="J471" s="4"/>
      <c r="K471" s="4"/>
      <c r="L471" s="4"/>
    </row>
    <row r="472" customFormat="false" ht="108" hidden="false" customHeight="true" outlineLevel="0" collapsed="false">
      <c r="A472" s="3" t="n">
        <v>46511</v>
      </c>
      <c r="B472" s="4" t="s">
        <v>6</v>
      </c>
      <c r="C472" s="8" t="s">
        <v>7</v>
      </c>
      <c r="D472" s="6" t="s">
        <v>488</v>
      </c>
      <c r="E472" s="4" t="n">
        <v>60</v>
      </c>
      <c r="F472" s="6" t="s">
        <v>47</v>
      </c>
      <c r="G472" s="4" t="n">
        <v>5</v>
      </c>
      <c r="H472" s="7" t="s">
        <v>489</v>
      </c>
      <c r="I472" s="4" t="n">
        <v>10.5</v>
      </c>
      <c r="J472" s="4"/>
      <c r="K472" s="4"/>
      <c r="L472" s="4" t="n">
        <v>42</v>
      </c>
    </row>
    <row r="473" customFormat="false" ht="24" hidden="false" customHeight="true" outlineLevel="0" collapsed="false">
      <c r="A473" s="3" t="n">
        <v>46511</v>
      </c>
      <c r="B473" s="4" t="s">
        <v>6</v>
      </c>
      <c r="C473" s="9" t="s">
        <v>11</v>
      </c>
      <c r="D473" s="6" t="s">
        <v>59</v>
      </c>
      <c r="E473" s="4" t="n">
        <v>54</v>
      </c>
      <c r="F473" s="6" t="s">
        <v>9</v>
      </c>
      <c r="G473" s="4" t="n">
        <v>2</v>
      </c>
      <c r="H473" s="7" t="s">
        <v>304</v>
      </c>
      <c r="I473" s="4"/>
      <c r="J473" s="4" t="n">
        <v>25</v>
      </c>
      <c r="K473" s="4"/>
      <c r="L473" s="4" t="n">
        <v>32</v>
      </c>
    </row>
    <row r="474" customFormat="false" ht="60" hidden="false" customHeight="true" outlineLevel="0" collapsed="false">
      <c r="A474" s="3" t="n">
        <v>46512</v>
      </c>
      <c r="B474" s="4" t="s">
        <v>14</v>
      </c>
      <c r="C474" s="9" t="s">
        <v>11</v>
      </c>
      <c r="D474" s="6" t="s">
        <v>212</v>
      </c>
      <c r="E474" s="4" t="n">
        <v>124</v>
      </c>
      <c r="F474" s="6" t="s">
        <v>43</v>
      </c>
      <c r="G474" s="4" t="n">
        <v>5</v>
      </c>
      <c r="H474" s="7" t="s">
        <v>490</v>
      </c>
      <c r="I474" s="4"/>
      <c r="J474" s="4" t="n">
        <v>58</v>
      </c>
      <c r="K474" s="4"/>
      <c r="L474" s="4" t="n">
        <v>227</v>
      </c>
    </row>
    <row r="475" customFormat="false" ht="24" hidden="false" customHeight="true" outlineLevel="0" collapsed="false">
      <c r="A475" s="3" t="n">
        <v>46513</v>
      </c>
      <c r="B475" s="4" t="s">
        <v>17</v>
      </c>
      <c r="C475" s="8" t="s">
        <v>7</v>
      </c>
      <c r="D475" s="6" t="s">
        <v>22</v>
      </c>
      <c r="E475" s="4" t="n">
        <v>62</v>
      </c>
      <c r="F475" s="6" t="s">
        <v>9</v>
      </c>
      <c r="G475" s="4" t="n">
        <v>4</v>
      </c>
      <c r="H475" s="7" t="s">
        <v>276</v>
      </c>
      <c r="I475" s="4" t="n">
        <v>10</v>
      </c>
      <c r="J475" s="4"/>
      <c r="K475" s="4"/>
      <c r="L475" s="4" t="n">
        <v>26</v>
      </c>
    </row>
    <row r="476" customFormat="false" ht="36" hidden="false" customHeight="true" outlineLevel="0" collapsed="false">
      <c r="A476" s="3" t="n">
        <v>46513</v>
      </c>
      <c r="B476" s="4" t="s">
        <v>17</v>
      </c>
      <c r="C476" s="10" t="s">
        <v>27</v>
      </c>
      <c r="D476" s="6" t="s">
        <v>277</v>
      </c>
      <c r="E476" s="4" t="n">
        <v>61</v>
      </c>
      <c r="F476" s="6" t="s">
        <v>4</v>
      </c>
      <c r="G476" s="4" t="n">
        <v>2</v>
      </c>
      <c r="H476" s="7" t="s">
        <v>491</v>
      </c>
      <c r="I476" s="4"/>
      <c r="J476" s="4"/>
      <c r="K476" s="4" t="n">
        <v>2050</v>
      </c>
      <c r="L476" s="4"/>
    </row>
    <row r="477" customFormat="false" ht="24" hidden="false" customHeight="true" outlineLevel="0" collapsed="false">
      <c r="A477" s="3" t="n">
        <v>46514</v>
      </c>
      <c r="B477" s="4" t="s">
        <v>21</v>
      </c>
      <c r="C477" s="8" t="s">
        <v>7</v>
      </c>
      <c r="D477" s="6" t="s">
        <v>22</v>
      </c>
      <c r="E477" s="4" t="n">
        <v>40</v>
      </c>
      <c r="F477" s="6" t="s">
        <v>19</v>
      </c>
      <c r="G477" s="4" t="n">
        <v>2</v>
      </c>
      <c r="H477" s="7" t="s">
        <v>416</v>
      </c>
      <c r="I477" s="4" t="n">
        <v>6</v>
      </c>
      <c r="J477" s="4"/>
      <c r="K477" s="4"/>
      <c r="L477" s="4" t="n">
        <v>20</v>
      </c>
    </row>
    <row r="478" customFormat="false" ht="48" hidden="false" customHeight="true" outlineLevel="0" collapsed="false">
      <c r="A478" s="3" t="n">
        <v>46514</v>
      </c>
      <c r="B478" s="4" t="s">
        <v>21</v>
      </c>
      <c r="C478" s="9" t="s">
        <v>11</v>
      </c>
      <c r="D478" s="6" t="s">
        <v>65</v>
      </c>
      <c r="E478" s="4" t="n">
        <v>101</v>
      </c>
      <c r="F478" s="6" t="s">
        <v>47</v>
      </c>
      <c r="G478" s="4" t="n">
        <v>5</v>
      </c>
      <c r="H478" s="7" t="s">
        <v>492</v>
      </c>
      <c r="I478" s="4"/>
      <c r="J478" s="4" t="n">
        <v>47</v>
      </c>
      <c r="K478" s="4"/>
      <c r="L478" s="4" t="n">
        <v>136</v>
      </c>
    </row>
    <row r="479" customFormat="false" ht="48" hidden="false" customHeight="true" outlineLevel="0" collapsed="false">
      <c r="A479" s="3" t="n">
        <v>46515</v>
      </c>
      <c r="B479" s="4" t="s">
        <v>26</v>
      </c>
      <c r="C479" s="10" t="s">
        <v>27</v>
      </c>
      <c r="D479" s="6" t="s">
        <v>103</v>
      </c>
      <c r="E479" s="4" t="n">
        <v>88</v>
      </c>
      <c r="F479" s="6" t="s">
        <v>4</v>
      </c>
      <c r="G479" s="4" t="n">
        <v>5</v>
      </c>
      <c r="H479" s="7" t="s">
        <v>493</v>
      </c>
      <c r="I479" s="4"/>
      <c r="J479" s="4"/>
      <c r="K479" s="4" t="n">
        <v>3200</v>
      </c>
      <c r="L479" s="4"/>
    </row>
    <row r="480" customFormat="false" ht="36" hidden="false" customHeight="true" outlineLevel="0" collapsed="false">
      <c r="A480" s="3" t="n">
        <v>46515</v>
      </c>
      <c r="B480" s="4" t="s">
        <v>26</v>
      </c>
      <c r="C480" s="8" t="s">
        <v>7</v>
      </c>
      <c r="D480" s="6" t="s">
        <v>494</v>
      </c>
      <c r="E480" s="4" t="n">
        <v>136</v>
      </c>
      <c r="F480" s="6" t="s">
        <v>9</v>
      </c>
      <c r="G480" s="4" t="n">
        <v>6</v>
      </c>
      <c r="H480" s="7" t="s">
        <v>495</v>
      </c>
      <c r="I480" s="4" t="n">
        <v>22</v>
      </c>
      <c r="J480" s="4"/>
      <c r="K480" s="4"/>
      <c r="L480" s="4" t="n">
        <v>109</v>
      </c>
    </row>
    <row r="481" customFormat="false" ht="36" hidden="false" customHeight="true" outlineLevel="0" collapsed="false">
      <c r="A481" s="3" t="n">
        <v>46516</v>
      </c>
      <c r="B481" s="4" t="s">
        <v>32</v>
      </c>
      <c r="C481" s="9" t="s">
        <v>11</v>
      </c>
      <c r="D481" s="6" t="s">
        <v>283</v>
      </c>
      <c r="E481" s="4" t="n">
        <v>257</v>
      </c>
      <c r="F481" s="6" t="s">
        <v>47</v>
      </c>
      <c r="G481" s="4" t="n">
        <v>6</v>
      </c>
      <c r="H481" s="7" t="s">
        <v>496</v>
      </c>
      <c r="I481" s="4"/>
      <c r="J481" s="4" t="n">
        <v>120</v>
      </c>
      <c r="K481" s="4"/>
      <c r="L481" s="4" t="n">
        <v>386</v>
      </c>
    </row>
    <row r="482" customFormat="false" ht="24" hidden="false" customHeight="true" outlineLevel="0" collapsed="false">
      <c r="A482" s="3" t="n">
        <v>46516</v>
      </c>
      <c r="B482" s="4" t="s">
        <v>32</v>
      </c>
      <c r="C482" s="8" t="s">
        <v>7</v>
      </c>
      <c r="D482" s="6" t="s">
        <v>298</v>
      </c>
      <c r="E482" s="4" t="n">
        <v>20</v>
      </c>
      <c r="F482" s="6" t="s">
        <v>47</v>
      </c>
      <c r="G482" s="4" t="n">
        <v>4</v>
      </c>
      <c r="H482" s="7" t="s">
        <v>299</v>
      </c>
      <c r="I482" s="4" t="n">
        <v>3.5</v>
      </c>
      <c r="J482" s="4"/>
      <c r="K482" s="4"/>
      <c r="L482" s="4"/>
    </row>
    <row r="483" customFormat="false" ht="36" hidden="false" customHeight="true" outlineLevel="0" collapsed="false">
      <c r="A483" s="3" t="n">
        <v>46516</v>
      </c>
      <c r="B483" s="4" t="s">
        <v>32</v>
      </c>
      <c r="C483" s="10" t="s">
        <v>27</v>
      </c>
      <c r="D483" s="6" t="s">
        <v>33</v>
      </c>
      <c r="E483" s="4" t="n">
        <v>58</v>
      </c>
      <c r="F483" s="6" t="s">
        <v>4</v>
      </c>
      <c r="G483" s="4" t="n">
        <v>4</v>
      </c>
      <c r="H483" s="7" t="s">
        <v>497</v>
      </c>
      <c r="I483" s="4"/>
      <c r="J483" s="4"/>
      <c r="K483" s="4" t="n">
        <v>2250</v>
      </c>
      <c r="L483" s="4"/>
    </row>
    <row r="484" customFormat="false" ht="15" hidden="false" customHeight="true" outlineLevel="0" collapsed="false">
      <c r="A484" s="11"/>
      <c r="B484" s="11"/>
      <c r="C484" s="11"/>
      <c r="D484" s="11"/>
      <c r="E484" s="11"/>
      <c r="F484" s="11"/>
      <c r="G484" s="11"/>
      <c r="H484" s="12" t="s">
        <v>35</v>
      </c>
      <c r="I484" s="11" t="n">
        <f aca="false">SUM(I471:I483)</f>
        <v>52</v>
      </c>
      <c r="J484" s="11" t="n">
        <f aca="false">SUM(J471:J483)</f>
        <v>250</v>
      </c>
      <c r="K484" s="11" t="n">
        <f aca="false">SUM(K471:K483)</f>
        <v>7500</v>
      </c>
      <c r="L484" s="11"/>
    </row>
    <row r="485" customFormat="false" ht="24" hidden="false" customHeight="true" outlineLevel="0" collapsed="false">
      <c r="A485" s="25" t="s">
        <v>498</v>
      </c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customFormat="false" ht="36" hidden="false" customHeight="true" outlineLevel="0" collapsed="false">
      <c r="A486" s="3" t="n">
        <v>46517</v>
      </c>
      <c r="B486" s="4" t="s">
        <v>1</v>
      </c>
      <c r="C486" s="23" t="s">
        <v>2</v>
      </c>
      <c r="D486" s="6" t="s">
        <v>3</v>
      </c>
      <c r="E486" s="4" t="s">
        <v>4</v>
      </c>
      <c r="F486" s="6" t="s">
        <v>4</v>
      </c>
      <c r="G486" s="4" t="n">
        <v>1</v>
      </c>
      <c r="H486" s="7" t="s">
        <v>56</v>
      </c>
      <c r="I486" s="4"/>
      <c r="J486" s="4"/>
      <c r="K486" s="4"/>
      <c r="L486" s="4"/>
    </row>
    <row r="487" customFormat="false" ht="96" hidden="false" customHeight="true" outlineLevel="0" collapsed="false">
      <c r="A487" s="3" t="n">
        <v>46518</v>
      </c>
      <c r="B487" s="4" t="s">
        <v>6</v>
      </c>
      <c r="C487" s="8" t="s">
        <v>7</v>
      </c>
      <c r="D487" s="6" t="s">
        <v>499</v>
      </c>
      <c r="E487" s="4" t="n">
        <v>82</v>
      </c>
      <c r="F487" s="6" t="s">
        <v>39</v>
      </c>
      <c r="G487" s="4" t="n">
        <v>7</v>
      </c>
      <c r="H487" s="7" t="s">
        <v>500</v>
      </c>
      <c r="I487" s="4" t="n">
        <v>14</v>
      </c>
      <c r="J487" s="4"/>
      <c r="K487" s="4"/>
      <c r="L487" s="4" t="n">
        <v>60</v>
      </c>
    </row>
    <row r="488" customFormat="false" ht="24" hidden="false" customHeight="true" outlineLevel="0" collapsed="false">
      <c r="A488" s="3" t="n">
        <v>46518</v>
      </c>
      <c r="B488" s="4" t="s">
        <v>6</v>
      </c>
      <c r="C488" s="9" t="s">
        <v>11</v>
      </c>
      <c r="D488" s="6" t="s">
        <v>59</v>
      </c>
      <c r="E488" s="4" t="n">
        <v>60</v>
      </c>
      <c r="F488" s="6" t="s">
        <v>9</v>
      </c>
      <c r="G488" s="4" t="n">
        <v>2</v>
      </c>
      <c r="H488" s="7" t="s">
        <v>377</v>
      </c>
      <c r="I488" s="4"/>
      <c r="J488" s="4" t="n">
        <v>28</v>
      </c>
      <c r="K488" s="4"/>
      <c r="L488" s="4" t="n">
        <v>36</v>
      </c>
    </row>
    <row r="489" customFormat="false" ht="60" hidden="false" customHeight="true" outlineLevel="0" collapsed="false">
      <c r="A489" s="3" t="n">
        <v>46519</v>
      </c>
      <c r="B489" s="4" t="s">
        <v>14</v>
      </c>
      <c r="C489" s="9" t="s">
        <v>11</v>
      </c>
      <c r="D489" s="6" t="s">
        <v>501</v>
      </c>
      <c r="E489" s="4" t="n">
        <v>144</v>
      </c>
      <c r="F489" s="6" t="s">
        <v>47</v>
      </c>
      <c r="G489" s="4" t="n">
        <v>6</v>
      </c>
      <c r="H489" s="7" t="s">
        <v>502</v>
      </c>
      <c r="I489" s="4"/>
      <c r="J489" s="4" t="n">
        <v>67</v>
      </c>
      <c r="K489" s="4"/>
      <c r="L489" s="4" t="n">
        <v>277</v>
      </c>
    </row>
    <row r="490" customFormat="false" ht="24" hidden="false" customHeight="true" outlineLevel="0" collapsed="false">
      <c r="A490" s="3" t="n">
        <v>46520</v>
      </c>
      <c r="B490" s="4" t="s">
        <v>17</v>
      </c>
      <c r="C490" s="8" t="s">
        <v>7</v>
      </c>
      <c r="D490" s="6" t="s">
        <v>22</v>
      </c>
      <c r="E490" s="4" t="n">
        <v>77</v>
      </c>
      <c r="F490" s="6" t="s">
        <v>9</v>
      </c>
      <c r="G490" s="4" t="n">
        <v>4</v>
      </c>
      <c r="H490" s="7" t="s">
        <v>503</v>
      </c>
      <c r="I490" s="4" t="n">
        <v>12.5</v>
      </c>
      <c r="J490" s="4"/>
      <c r="K490" s="4"/>
      <c r="L490" s="4" t="n">
        <v>26</v>
      </c>
    </row>
    <row r="491" customFormat="false" ht="36" hidden="false" customHeight="true" outlineLevel="0" collapsed="false">
      <c r="A491" s="3" t="n">
        <v>46520</v>
      </c>
      <c r="B491" s="4" t="s">
        <v>17</v>
      </c>
      <c r="C491" s="10" t="s">
        <v>27</v>
      </c>
      <c r="D491" s="6" t="s">
        <v>277</v>
      </c>
      <c r="E491" s="4" t="n">
        <v>68</v>
      </c>
      <c r="F491" s="6" t="s">
        <v>4</v>
      </c>
      <c r="G491" s="4" t="n">
        <v>2</v>
      </c>
      <c r="H491" s="7" t="s">
        <v>364</v>
      </c>
      <c r="I491" s="4"/>
      <c r="J491" s="4"/>
      <c r="K491" s="4" t="n">
        <v>2300</v>
      </c>
      <c r="L491" s="4"/>
    </row>
    <row r="492" customFormat="false" ht="24" hidden="false" customHeight="true" outlineLevel="0" collapsed="false">
      <c r="A492" s="3" t="n">
        <v>46521</v>
      </c>
      <c r="B492" s="4" t="s">
        <v>21</v>
      </c>
      <c r="C492" s="8" t="s">
        <v>7</v>
      </c>
      <c r="D492" s="6" t="s">
        <v>22</v>
      </c>
      <c r="E492" s="4" t="n">
        <v>40</v>
      </c>
      <c r="F492" s="6" t="s">
        <v>19</v>
      </c>
      <c r="G492" s="4" t="n">
        <v>2</v>
      </c>
      <c r="H492" s="7" t="s">
        <v>416</v>
      </c>
      <c r="I492" s="4" t="n">
        <v>6</v>
      </c>
      <c r="J492" s="4"/>
      <c r="K492" s="4"/>
      <c r="L492" s="4" t="n">
        <v>20</v>
      </c>
    </row>
    <row r="493" customFormat="false" ht="48" hidden="false" customHeight="true" outlineLevel="0" collapsed="false">
      <c r="A493" s="3" t="n">
        <v>46521</v>
      </c>
      <c r="B493" s="4" t="s">
        <v>21</v>
      </c>
      <c r="C493" s="9" t="s">
        <v>11</v>
      </c>
      <c r="D493" s="6" t="s">
        <v>65</v>
      </c>
      <c r="E493" s="4" t="n">
        <v>118</v>
      </c>
      <c r="F493" s="6" t="s">
        <v>47</v>
      </c>
      <c r="G493" s="4" t="n">
        <v>5</v>
      </c>
      <c r="H493" s="7" t="s">
        <v>504</v>
      </c>
      <c r="I493" s="4"/>
      <c r="J493" s="4" t="n">
        <v>55</v>
      </c>
      <c r="K493" s="4"/>
      <c r="L493" s="4" t="n">
        <v>159</v>
      </c>
    </row>
    <row r="494" customFormat="false" ht="48" hidden="false" customHeight="true" outlineLevel="0" collapsed="false">
      <c r="A494" s="3" t="n">
        <v>46522</v>
      </c>
      <c r="B494" s="4" t="s">
        <v>26</v>
      </c>
      <c r="C494" s="10" t="s">
        <v>27</v>
      </c>
      <c r="D494" s="6" t="s">
        <v>103</v>
      </c>
      <c r="E494" s="4" t="n">
        <v>99</v>
      </c>
      <c r="F494" s="6" t="s">
        <v>4</v>
      </c>
      <c r="G494" s="4" t="n">
        <v>5</v>
      </c>
      <c r="H494" s="7" t="s">
        <v>505</v>
      </c>
      <c r="I494" s="4"/>
      <c r="J494" s="4"/>
      <c r="K494" s="4" t="n">
        <v>3700</v>
      </c>
      <c r="L494" s="4"/>
    </row>
    <row r="495" customFormat="false" ht="36" hidden="false" customHeight="true" outlineLevel="0" collapsed="false">
      <c r="A495" s="3" t="n">
        <v>46522</v>
      </c>
      <c r="B495" s="4" t="s">
        <v>26</v>
      </c>
      <c r="C495" s="8" t="s">
        <v>7</v>
      </c>
      <c r="D495" s="6" t="s">
        <v>440</v>
      </c>
      <c r="E495" s="4" t="n">
        <v>154</v>
      </c>
      <c r="F495" s="6" t="s">
        <v>47</v>
      </c>
      <c r="G495" s="4" t="n">
        <v>7</v>
      </c>
      <c r="H495" s="7" t="s">
        <v>506</v>
      </c>
      <c r="I495" s="4" t="n">
        <v>25</v>
      </c>
      <c r="J495" s="4"/>
      <c r="K495" s="4"/>
      <c r="L495" s="4" t="n">
        <v>123</v>
      </c>
    </row>
    <row r="496" customFormat="false" ht="36" hidden="false" customHeight="true" outlineLevel="0" collapsed="false">
      <c r="A496" s="3" t="n">
        <v>46523</v>
      </c>
      <c r="B496" s="4" t="s">
        <v>32</v>
      </c>
      <c r="C496" s="9" t="s">
        <v>11</v>
      </c>
      <c r="D496" s="6" t="s">
        <v>369</v>
      </c>
      <c r="E496" s="4" t="n">
        <v>321</v>
      </c>
      <c r="F496" s="6" t="s">
        <v>47</v>
      </c>
      <c r="G496" s="4" t="n">
        <v>6</v>
      </c>
      <c r="H496" s="7" t="s">
        <v>507</v>
      </c>
      <c r="I496" s="4"/>
      <c r="J496" s="4" t="n">
        <v>150</v>
      </c>
      <c r="K496" s="4"/>
      <c r="L496" s="4" t="n">
        <v>482</v>
      </c>
    </row>
    <row r="497" customFormat="false" ht="24" hidden="false" customHeight="true" outlineLevel="0" collapsed="false">
      <c r="A497" s="3" t="n">
        <v>46523</v>
      </c>
      <c r="B497" s="4" t="s">
        <v>32</v>
      </c>
      <c r="C497" s="8" t="s">
        <v>7</v>
      </c>
      <c r="D497" s="6" t="s">
        <v>371</v>
      </c>
      <c r="E497" s="4" t="n">
        <v>25</v>
      </c>
      <c r="F497" s="6" t="s">
        <v>47</v>
      </c>
      <c r="G497" s="4" t="n">
        <v>4</v>
      </c>
      <c r="H497" s="7" t="s">
        <v>372</v>
      </c>
      <c r="I497" s="4" t="n">
        <v>4.5</v>
      </c>
      <c r="J497" s="4"/>
      <c r="K497" s="4"/>
      <c r="L497" s="4"/>
    </row>
    <row r="498" customFormat="false" ht="36" hidden="false" customHeight="true" outlineLevel="0" collapsed="false">
      <c r="A498" s="3" t="n">
        <v>46523</v>
      </c>
      <c r="B498" s="4" t="s">
        <v>32</v>
      </c>
      <c r="C498" s="10" t="s">
        <v>27</v>
      </c>
      <c r="D498" s="6" t="s">
        <v>33</v>
      </c>
      <c r="E498" s="4" t="n">
        <v>66</v>
      </c>
      <c r="F498" s="6" t="s">
        <v>4</v>
      </c>
      <c r="G498" s="4" t="n">
        <v>4</v>
      </c>
      <c r="H498" s="7" t="s">
        <v>508</v>
      </c>
      <c r="I498" s="4"/>
      <c r="J498" s="4"/>
      <c r="K498" s="4" t="n">
        <v>2600</v>
      </c>
      <c r="L498" s="4"/>
    </row>
    <row r="499" customFormat="false" ht="15" hidden="false" customHeight="true" outlineLevel="0" collapsed="false">
      <c r="A499" s="11"/>
      <c r="B499" s="11"/>
      <c r="C499" s="11"/>
      <c r="D499" s="11"/>
      <c r="E499" s="11"/>
      <c r="F499" s="11"/>
      <c r="G499" s="11"/>
      <c r="H499" s="12" t="s">
        <v>35</v>
      </c>
      <c r="I499" s="11" t="n">
        <f aca="false">SUM(I486:I498)</f>
        <v>62</v>
      </c>
      <c r="J499" s="11" t="n">
        <f aca="false">SUM(J486:J498)</f>
        <v>300</v>
      </c>
      <c r="K499" s="11" t="n">
        <f aca="false">SUM(K486:K498)</f>
        <v>8600</v>
      </c>
      <c r="L499" s="11"/>
    </row>
    <row r="500" customFormat="false" ht="15" hidden="false" customHeight="true" outlineLevel="0" collapsed="false">
      <c r="A500" s="26" t="s">
        <v>509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</row>
    <row r="501" customFormat="false" ht="15" hidden="false" customHeight="true" outlineLevel="0" collapsed="false">
      <c r="A501" s="3" t="n">
        <v>46524</v>
      </c>
      <c r="B501" s="19" t="s">
        <v>1</v>
      </c>
      <c r="C501" s="23" t="s">
        <v>2</v>
      </c>
      <c r="D501" s="19" t="s">
        <v>3</v>
      </c>
      <c r="E501" s="19" t="s">
        <v>4</v>
      </c>
      <c r="F501" s="19" t="s">
        <v>4</v>
      </c>
      <c r="G501" s="19" t="n">
        <v>1</v>
      </c>
      <c r="H501" s="19" t="s">
        <v>56</v>
      </c>
      <c r="I501" s="19"/>
      <c r="J501" s="19"/>
      <c r="K501" s="19"/>
    </row>
    <row r="502" customFormat="false" ht="108" hidden="false" customHeight="true" outlineLevel="0" collapsed="false">
      <c r="A502" s="3" t="n">
        <v>46525</v>
      </c>
      <c r="B502" s="4" t="s">
        <v>6</v>
      </c>
      <c r="C502" s="8" t="s">
        <v>7</v>
      </c>
      <c r="D502" s="6" t="s">
        <v>510</v>
      </c>
      <c r="E502" s="4" t="n">
        <v>64</v>
      </c>
      <c r="F502" s="6" t="s">
        <v>39</v>
      </c>
      <c r="G502" s="4" t="n">
        <v>7</v>
      </c>
      <c r="H502" s="7" t="s">
        <v>511</v>
      </c>
      <c r="I502" s="4" t="n">
        <v>11</v>
      </c>
      <c r="J502" s="4"/>
      <c r="K502" s="4"/>
      <c r="L502" s="4" t="n">
        <v>48</v>
      </c>
    </row>
    <row r="503" customFormat="false" ht="24" hidden="false" customHeight="true" outlineLevel="0" collapsed="false">
      <c r="A503" s="3" t="n">
        <v>46525</v>
      </c>
      <c r="B503" s="4" t="s">
        <v>6</v>
      </c>
      <c r="C503" s="9" t="s">
        <v>11</v>
      </c>
      <c r="D503" s="6" t="s">
        <v>59</v>
      </c>
      <c r="E503" s="4" t="n">
        <v>47</v>
      </c>
      <c r="F503" s="6" t="s">
        <v>9</v>
      </c>
      <c r="G503" s="4" t="n">
        <v>2</v>
      </c>
      <c r="H503" s="7" t="s">
        <v>185</v>
      </c>
      <c r="I503" s="4"/>
      <c r="J503" s="4" t="n">
        <v>22</v>
      </c>
      <c r="K503" s="4"/>
      <c r="L503" s="4" t="n">
        <v>28</v>
      </c>
    </row>
    <row r="504" customFormat="false" ht="60" hidden="false" customHeight="true" outlineLevel="0" collapsed="false">
      <c r="A504" s="3" t="n">
        <v>46526</v>
      </c>
      <c r="B504" s="4" t="s">
        <v>14</v>
      </c>
      <c r="C504" s="9" t="s">
        <v>11</v>
      </c>
      <c r="D504" s="6" t="s">
        <v>512</v>
      </c>
      <c r="E504" s="4" t="n">
        <v>103</v>
      </c>
      <c r="F504" s="6" t="s">
        <v>43</v>
      </c>
      <c r="G504" s="4" t="n">
        <v>5</v>
      </c>
      <c r="H504" s="7" t="s">
        <v>513</v>
      </c>
      <c r="I504" s="4"/>
      <c r="J504" s="4" t="n">
        <v>48</v>
      </c>
      <c r="K504" s="4"/>
      <c r="L504" s="4" t="n">
        <v>194</v>
      </c>
    </row>
    <row r="505" customFormat="false" ht="24" hidden="false" customHeight="true" outlineLevel="0" collapsed="false">
      <c r="A505" s="3" t="n">
        <v>46527</v>
      </c>
      <c r="B505" s="4" t="s">
        <v>17</v>
      </c>
      <c r="C505" s="8" t="s">
        <v>7</v>
      </c>
      <c r="D505" s="6" t="s">
        <v>18</v>
      </c>
      <c r="E505" s="4" t="n">
        <v>62</v>
      </c>
      <c r="F505" s="6" t="s">
        <v>19</v>
      </c>
      <c r="G505" s="4" t="n">
        <v>2</v>
      </c>
      <c r="H505" s="7" t="s">
        <v>514</v>
      </c>
      <c r="I505" s="4" t="n">
        <v>10</v>
      </c>
      <c r="J505" s="4"/>
      <c r="K505" s="4"/>
      <c r="L505" s="4" t="n">
        <v>26</v>
      </c>
    </row>
    <row r="506" customFormat="false" ht="36" hidden="false" customHeight="true" outlineLevel="0" collapsed="false">
      <c r="A506" s="3" t="n">
        <v>46527</v>
      </c>
      <c r="B506" s="4" t="s">
        <v>17</v>
      </c>
      <c r="C506" s="10" t="s">
        <v>27</v>
      </c>
      <c r="D506" s="6" t="s">
        <v>277</v>
      </c>
      <c r="E506" s="4" t="n">
        <v>49</v>
      </c>
      <c r="F506" s="6" t="s">
        <v>4</v>
      </c>
      <c r="G506" s="4" t="n">
        <v>2</v>
      </c>
      <c r="H506" s="7" t="s">
        <v>515</v>
      </c>
      <c r="I506" s="4"/>
      <c r="J506" s="4"/>
      <c r="K506" s="4" t="n">
        <v>1600</v>
      </c>
      <c r="L506" s="4"/>
    </row>
    <row r="507" customFormat="false" ht="24" hidden="false" customHeight="true" outlineLevel="0" collapsed="false">
      <c r="A507" s="3" t="n">
        <v>46528</v>
      </c>
      <c r="B507" s="4" t="s">
        <v>21</v>
      </c>
      <c r="C507" s="8" t="s">
        <v>7</v>
      </c>
      <c r="D507" s="6" t="s">
        <v>22</v>
      </c>
      <c r="E507" s="4" t="n">
        <v>33</v>
      </c>
      <c r="F507" s="6" t="s">
        <v>19</v>
      </c>
      <c r="G507" s="4" t="n">
        <v>2</v>
      </c>
      <c r="H507" s="7" t="s">
        <v>266</v>
      </c>
      <c r="I507" s="4" t="n">
        <v>5</v>
      </c>
      <c r="J507" s="4"/>
      <c r="K507" s="4"/>
      <c r="L507" s="4" t="n">
        <v>20</v>
      </c>
    </row>
    <row r="508" customFormat="false" ht="48" hidden="false" customHeight="true" outlineLevel="0" collapsed="false">
      <c r="A508" s="3" t="n">
        <v>46528</v>
      </c>
      <c r="B508" s="4" t="s">
        <v>21</v>
      </c>
      <c r="C508" s="9" t="s">
        <v>11</v>
      </c>
      <c r="D508" s="6" t="s">
        <v>46</v>
      </c>
      <c r="E508" s="4" t="n">
        <v>86</v>
      </c>
      <c r="F508" s="6" t="s">
        <v>47</v>
      </c>
      <c r="G508" s="4" t="n">
        <v>3</v>
      </c>
      <c r="H508" s="7" t="s">
        <v>516</v>
      </c>
      <c r="I508" s="4"/>
      <c r="J508" s="4" t="n">
        <v>40</v>
      </c>
      <c r="K508" s="4"/>
      <c r="L508" s="4" t="n">
        <v>116</v>
      </c>
    </row>
    <row r="509" customFormat="false" ht="48" hidden="false" customHeight="true" outlineLevel="0" collapsed="false">
      <c r="A509" s="3" t="n">
        <v>46529</v>
      </c>
      <c r="B509" s="4" t="s">
        <v>26</v>
      </c>
      <c r="C509" s="10" t="s">
        <v>27</v>
      </c>
      <c r="D509" s="6" t="s">
        <v>103</v>
      </c>
      <c r="E509" s="4" t="n">
        <v>75</v>
      </c>
      <c r="F509" s="6" t="s">
        <v>4</v>
      </c>
      <c r="G509" s="4" t="n">
        <v>5</v>
      </c>
      <c r="H509" s="7" t="s">
        <v>517</v>
      </c>
      <c r="I509" s="4"/>
      <c r="J509" s="4"/>
      <c r="K509" s="4" t="n">
        <v>2600</v>
      </c>
      <c r="L509" s="4"/>
    </row>
    <row r="510" customFormat="false" ht="36" hidden="false" customHeight="true" outlineLevel="0" collapsed="false">
      <c r="A510" s="3" t="n">
        <v>46529</v>
      </c>
      <c r="B510" s="4" t="s">
        <v>26</v>
      </c>
      <c r="C510" s="8" t="s">
        <v>7</v>
      </c>
      <c r="D510" s="6" t="s">
        <v>246</v>
      </c>
      <c r="E510" s="4" t="n">
        <v>111</v>
      </c>
      <c r="F510" s="6" t="s">
        <v>9</v>
      </c>
      <c r="G510" s="4" t="n">
        <v>6</v>
      </c>
      <c r="H510" s="7" t="s">
        <v>518</v>
      </c>
      <c r="I510" s="4" t="n">
        <v>18</v>
      </c>
      <c r="J510" s="4"/>
      <c r="K510" s="4"/>
      <c r="L510" s="4" t="n">
        <v>89</v>
      </c>
    </row>
    <row r="511" customFormat="false" ht="48" hidden="false" customHeight="true" outlineLevel="0" collapsed="false">
      <c r="A511" s="3" t="n">
        <v>46530</v>
      </c>
      <c r="B511" s="4" t="s">
        <v>32</v>
      </c>
      <c r="C511" s="9" t="s">
        <v>11</v>
      </c>
      <c r="D511" s="6" t="s">
        <v>107</v>
      </c>
      <c r="E511" s="4" t="n">
        <v>214</v>
      </c>
      <c r="F511" s="6" t="s">
        <v>47</v>
      </c>
      <c r="G511" s="4" t="n">
        <v>4</v>
      </c>
      <c r="H511" s="7" t="s">
        <v>519</v>
      </c>
      <c r="I511" s="4"/>
      <c r="J511" s="4" t="n">
        <v>100</v>
      </c>
      <c r="K511" s="4"/>
      <c r="L511" s="4" t="n">
        <v>321</v>
      </c>
    </row>
    <row r="512" customFormat="false" ht="36" hidden="false" customHeight="true" outlineLevel="0" collapsed="false">
      <c r="A512" s="3" t="n">
        <v>46530</v>
      </c>
      <c r="B512" s="4" t="s">
        <v>32</v>
      </c>
      <c r="C512" s="10" t="s">
        <v>27</v>
      </c>
      <c r="D512" s="6" t="s">
        <v>33</v>
      </c>
      <c r="E512" s="4" t="n">
        <v>48</v>
      </c>
      <c r="F512" s="6" t="s">
        <v>4</v>
      </c>
      <c r="G512" s="4" t="n">
        <v>4</v>
      </c>
      <c r="H512" s="7" t="s">
        <v>520</v>
      </c>
      <c r="I512" s="4"/>
      <c r="J512" s="4"/>
      <c r="K512" s="4" t="n">
        <v>1800</v>
      </c>
      <c r="L512" s="4"/>
    </row>
    <row r="513" customFormat="false" ht="15" hidden="false" customHeight="true" outlineLevel="0" collapsed="false">
      <c r="A513" s="11"/>
      <c r="B513" s="11"/>
      <c r="C513" s="11"/>
      <c r="D513" s="11"/>
      <c r="E513" s="11"/>
      <c r="F513" s="11"/>
      <c r="G513" s="11"/>
      <c r="H513" s="12" t="s">
        <v>35</v>
      </c>
      <c r="I513" s="11" t="n">
        <f aca="false">SUM(I501:I512)</f>
        <v>44</v>
      </c>
      <c r="J513" s="11" t="n">
        <f aca="false">SUM(J501:J512)</f>
        <v>210</v>
      </c>
      <c r="K513" s="11" t="n">
        <f aca="false">SUM(K501:K512)</f>
        <v>6000</v>
      </c>
      <c r="L513" s="11"/>
    </row>
    <row r="514" customFormat="false" ht="15" hidden="false" customHeight="true" outlineLevel="0" collapsed="false">
      <c r="A514" s="16" t="s">
        <v>521</v>
      </c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</row>
    <row r="515" customFormat="false" ht="36" hidden="false" customHeight="true" outlineLevel="0" collapsed="false">
      <c r="A515" s="3" t="n">
        <v>46531</v>
      </c>
      <c r="B515" s="4" t="s">
        <v>1</v>
      </c>
      <c r="C515" s="10" t="s">
        <v>27</v>
      </c>
      <c r="D515" s="6" t="s">
        <v>33</v>
      </c>
      <c r="E515" s="4" t="n">
        <v>67</v>
      </c>
      <c r="F515" s="6" t="s">
        <v>4</v>
      </c>
      <c r="G515" s="4" t="n">
        <v>4</v>
      </c>
      <c r="H515" s="7" t="s">
        <v>522</v>
      </c>
      <c r="I515" s="4"/>
      <c r="J515" s="4"/>
      <c r="K515" s="4" t="n">
        <v>2700</v>
      </c>
      <c r="L515" s="4"/>
    </row>
    <row r="516" customFormat="false" ht="72" hidden="false" customHeight="true" outlineLevel="0" collapsed="false">
      <c r="A516" s="3" t="n">
        <v>46532</v>
      </c>
      <c r="B516" s="4" t="s">
        <v>6</v>
      </c>
      <c r="C516" s="8" t="s">
        <v>7</v>
      </c>
      <c r="D516" s="6" t="s">
        <v>411</v>
      </c>
      <c r="E516" s="4" t="n">
        <v>80</v>
      </c>
      <c r="F516" s="6" t="s">
        <v>43</v>
      </c>
      <c r="G516" s="4" t="n">
        <v>6</v>
      </c>
      <c r="H516" s="7" t="s">
        <v>412</v>
      </c>
      <c r="I516" s="4" t="n">
        <v>14.5</v>
      </c>
      <c r="J516" s="4"/>
      <c r="K516" s="4"/>
      <c r="L516" s="4" t="n">
        <v>62</v>
      </c>
    </row>
    <row r="517" customFormat="false" ht="24" hidden="false" customHeight="true" outlineLevel="0" collapsed="false">
      <c r="A517" s="3" t="n">
        <v>46532</v>
      </c>
      <c r="B517" s="4" t="s">
        <v>6</v>
      </c>
      <c r="C517" s="9" t="s">
        <v>11</v>
      </c>
      <c r="D517" s="6" t="s">
        <v>59</v>
      </c>
      <c r="E517" s="4" t="n">
        <v>64</v>
      </c>
      <c r="F517" s="6" t="s">
        <v>9</v>
      </c>
      <c r="G517" s="4" t="n">
        <v>2</v>
      </c>
      <c r="H517" s="7" t="s">
        <v>523</v>
      </c>
      <c r="I517" s="4"/>
      <c r="J517" s="4" t="n">
        <v>30</v>
      </c>
      <c r="K517" s="4"/>
      <c r="L517" s="4" t="n">
        <v>38</v>
      </c>
    </row>
    <row r="518" customFormat="false" ht="60" hidden="false" customHeight="true" outlineLevel="0" collapsed="false">
      <c r="A518" s="3" t="n">
        <v>46533</v>
      </c>
      <c r="B518" s="4" t="s">
        <v>14</v>
      </c>
      <c r="C518" s="9" t="s">
        <v>11</v>
      </c>
      <c r="D518" s="6" t="s">
        <v>524</v>
      </c>
      <c r="E518" s="4" t="n">
        <v>154</v>
      </c>
      <c r="F518" s="6" t="s">
        <v>47</v>
      </c>
      <c r="G518" s="4" t="n">
        <v>6</v>
      </c>
      <c r="H518" s="7" t="s">
        <v>525</v>
      </c>
      <c r="I518" s="4"/>
      <c r="J518" s="4" t="n">
        <v>72</v>
      </c>
      <c r="K518" s="4"/>
      <c r="L518" s="4" t="n">
        <v>323</v>
      </c>
    </row>
    <row r="519" customFormat="false" ht="24" hidden="false" customHeight="true" outlineLevel="0" collapsed="false">
      <c r="A519" s="3" t="n">
        <v>46534</v>
      </c>
      <c r="B519" s="4" t="s">
        <v>17</v>
      </c>
      <c r="C519" s="8" t="s">
        <v>7</v>
      </c>
      <c r="D519" s="6" t="s">
        <v>22</v>
      </c>
      <c r="E519" s="4" t="n">
        <v>83</v>
      </c>
      <c r="F519" s="6" t="s">
        <v>9</v>
      </c>
      <c r="G519" s="4" t="n">
        <v>4</v>
      </c>
      <c r="H519" s="7" t="s">
        <v>363</v>
      </c>
      <c r="I519" s="4" t="n">
        <v>13.5</v>
      </c>
      <c r="J519" s="4"/>
      <c r="K519" s="4"/>
      <c r="L519" s="4" t="n">
        <v>26</v>
      </c>
    </row>
    <row r="520" customFormat="false" ht="36" hidden="false" customHeight="true" outlineLevel="0" collapsed="false">
      <c r="A520" s="3" t="n">
        <v>46534</v>
      </c>
      <c r="B520" s="4" t="s">
        <v>17</v>
      </c>
      <c r="C520" s="10" t="s">
        <v>27</v>
      </c>
      <c r="D520" s="6" t="s">
        <v>277</v>
      </c>
      <c r="E520" s="4" t="n">
        <v>71</v>
      </c>
      <c r="F520" s="6" t="s">
        <v>4</v>
      </c>
      <c r="G520" s="4" t="n">
        <v>2</v>
      </c>
      <c r="H520" s="7" t="s">
        <v>381</v>
      </c>
      <c r="I520" s="4"/>
      <c r="J520" s="4"/>
      <c r="K520" s="4" t="n">
        <v>2450</v>
      </c>
      <c r="L520" s="4"/>
    </row>
    <row r="521" customFormat="false" ht="24" hidden="false" customHeight="true" outlineLevel="0" collapsed="false">
      <c r="A521" s="3" t="n">
        <v>46535</v>
      </c>
      <c r="B521" s="4" t="s">
        <v>21</v>
      </c>
      <c r="C521" s="8" t="s">
        <v>7</v>
      </c>
      <c r="D521" s="6" t="s">
        <v>22</v>
      </c>
      <c r="E521" s="4" t="n">
        <v>40</v>
      </c>
      <c r="F521" s="6" t="s">
        <v>19</v>
      </c>
      <c r="G521" s="4" t="n">
        <v>2</v>
      </c>
      <c r="H521" s="7" t="s">
        <v>416</v>
      </c>
      <c r="I521" s="4" t="n">
        <v>6</v>
      </c>
      <c r="J521" s="4"/>
      <c r="K521" s="4"/>
      <c r="L521" s="4" t="n">
        <v>20</v>
      </c>
    </row>
    <row r="522" customFormat="false" ht="48" hidden="false" customHeight="true" outlineLevel="0" collapsed="false">
      <c r="A522" s="3" t="n">
        <v>46535</v>
      </c>
      <c r="B522" s="4" t="s">
        <v>21</v>
      </c>
      <c r="C522" s="9" t="s">
        <v>11</v>
      </c>
      <c r="D522" s="6" t="s">
        <v>65</v>
      </c>
      <c r="E522" s="4" t="n">
        <v>124</v>
      </c>
      <c r="F522" s="6" t="s">
        <v>47</v>
      </c>
      <c r="G522" s="4" t="n">
        <v>5</v>
      </c>
      <c r="H522" s="7" t="s">
        <v>526</v>
      </c>
      <c r="I522" s="4"/>
      <c r="J522" s="4" t="n">
        <v>58</v>
      </c>
      <c r="K522" s="4"/>
      <c r="L522" s="4" t="n">
        <v>167</v>
      </c>
    </row>
    <row r="523" customFormat="false" ht="48" hidden="false" customHeight="true" outlineLevel="0" collapsed="false">
      <c r="A523" s="3" t="n">
        <v>46536</v>
      </c>
      <c r="B523" s="4" t="s">
        <v>26</v>
      </c>
      <c r="C523" s="10" t="s">
        <v>27</v>
      </c>
      <c r="D523" s="6" t="s">
        <v>103</v>
      </c>
      <c r="E523" s="4" t="n">
        <v>100</v>
      </c>
      <c r="F523" s="6" t="s">
        <v>4</v>
      </c>
      <c r="G523" s="4" t="n">
        <v>5</v>
      </c>
      <c r="H523" s="7" t="s">
        <v>527</v>
      </c>
      <c r="I523" s="4"/>
      <c r="J523" s="4"/>
      <c r="K523" s="4" t="n">
        <v>3850</v>
      </c>
      <c r="L523" s="4"/>
    </row>
    <row r="524" customFormat="false" ht="24" hidden="false" customHeight="true" outlineLevel="0" collapsed="false">
      <c r="A524" s="3" t="n">
        <v>46536</v>
      </c>
      <c r="B524" s="4" t="s">
        <v>26</v>
      </c>
      <c r="C524" s="8" t="s">
        <v>7</v>
      </c>
      <c r="D524" s="6" t="s">
        <v>528</v>
      </c>
      <c r="E524" s="4" t="n">
        <v>173</v>
      </c>
      <c r="F524" s="6" t="s">
        <v>47</v>
      </c>
      <c r="G524" s="4" t="n">
        <v>6</v>
      </c>
      <c r="H524" s="7" t="s">
        <v>529</v>
      </c>
      <c r="I524" s="4" t="n">
        <v>28</v>
      </c>
      <c r="J524" s="4"/>
      <c r="K524" s="4"/>
      <c r="L524" s="4" t="n">
        <v>138</v>
      </c>
    </row>
    <row r="525" customFormat="false" ht="36" hidden="false" customHeight="true" outlineLevel="0" collapsed="false">
      <c r="A525" s="3" t="n">
        <v>46537</v>
      </c>
      <c r="B525" s="4" t="s">
        <v>32</v>
      </c>
      <c r="C525" s="9" t="s">
        <v>11</v>
      </c>
      <c r="D525" s="6" t="s">
        <v>530</v>
      </c>
      <c r="E525" s="4" t="n">
        <v>343</v>
      </c>
      <c r="F525" s="6" t="s">
        <v>47</v>
      </c>
      <c r="G525" s="4" t="n">
        <v>6</v>
      </c>
      <c r="H525" s="7" t="s">
        <v>531</v>
      </c>
      <c r="I525" s="4"/>
      <c r="J525" s="4" t="n">
        <v>160</v>
      </c>
      <c r="K525" s="4"/>
      <c r="L525" s="4" t="n">
        <v>514</v>
      </c>
    </row>
    <row r="526" customFormat="false" ht="24" hidden="false" customHeight="true" outlineLevel="0" collapsed="false">
      <c r="A526" s="3" t="n">
        <v>46537</v>
      </c>
      <c r="B526" s="4" t="s">
        <v>32</v>
      </c>
      <c r="C526" s="8" t="s">
        <v>7</v>
      </c>
      <c r="D526" s="6" t="s">
        <v>532</v>
      </c>
      <c r="E526" s="4" t="n">
        <v>35</v>
      </c>
      <c r="F526" s="6" t="s">
        <v>47</v>
      </c>
      <c r="G526" s="4" t="n">
        <v>4</v>
      </c>
      <c r="H526" s="7" t="s">
        <v>533</v>
      </c>
      <c r="I526" s="4" t="n">
        <v>6</v>
      </c>
      <c r="J526" s="4"/>
      <c r="K526" s="4"/>
      <c r="L526" s="4"/>
    </row>
    <row r="527" customFormat="false" ht="15" hidden="false" customHeight="true" outlineLevel="0" collapsed="false">
      <c r="A527" s="11"/>
      <c r="B527" s="11"/>
      <c r="C527" s="11"/>
      <c r="D527" s="11"/>
      <c r="E527" s="11"/>
      <c r="F527" s="11"/>
      <c r="G527" s="11"/>
      <c r="H527" s="12" t="s">
        <v>35</v>
      </c>
      <c r="I527" s="11" t="n">
        <f aca="false">SUM(I515:I526)</f>
        <v>68</v>
      </c>
      <c r="J527" s="11" t="n">
        <f aca="false">SUM(J515:J526)</f>
        <v>320</v>
      </c>
      <c r="K527" s="11" t="n">
        <f aca="false">SUM(K515:K526)</f>
        <v>9000</v>
      </c>
      <c r="L527" s="11"/>
    </row>
    <row r="528" customFormat="false" ht="15" hidden="false" customHeight="true" outlineLevel="0" collapsed="false">
      <c r="A528" s="16" t="s">
        <v>534</v>
      </c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</row>
    <row r="529" customFormat="false" ht="36" hidden="false" customHeight="true" outlineLevel="0" collapsed="false">
      <c r="A529" s="3" t="n">
        <v>46538</v>
      </c>
      <c r="B529" s="4" t="s">
        <v>1</v>
      </c>
      <c r="C529" s="10" t="s">
        <v>27</v>
      </c>
      <c r="D529" s="6" t="s">
        <v>33</v>
      </c>
      <c r="E529" s="4" t="n">
        <v>71</v>
      </c>
      <c r="F529" s="6" t="s">
        <v>4</v>
      </c>
      <c r="G529" s="4" t="n">
        <v>4</v>
      </c>
      <c r="H529" s="7" t="s">
        <v>535</v>
      </c>
      <c r="I529" s="4"/>
      <c r="J529" s="4"/>
      <c r="K529" s="4" t="n">
        <v>2850</v>
      </c>
      <c r="L529" s="4"/>
    </row>
    <row r="530" customFormat="false" ht="72" hidden="false" customHeight="true" outlineLevel="0" collapsed="false">
      <c r="A530" s="3" t="n">
        <v>46539</v>
      </c>
      <c r="B530" s="4" t="s">
        <v>6</v>
      </c>
      <c r="C530" s="8" t="s">
        <v>7</v>
      </c>
      <c r="D530" s="6" t="s">
        <v>343</v>
      </c>
      <c r="E530" s="4" t="n">
        <v>84</v>
      </c>
      <c r="F530" s="6" t="s">
        <v>39</v>
      </c>
      <c r="G530" s="4" t="n">
        <v>7</v>
      </c>
      <c r="H530" s="7" t="s">
        <v>536</v>
      </c>
      <c r="I530" s="4" t="n">
        <v>16</v>
      </c>
      <c r="J530" s="4"/>
      <c r="K530" s="4"/>
      <c r="L530" s="4" t="n">
        <v>62</v>
      </c>
    </row>
    <row r="531" customFormat="false" ht="24" hidden="false" customHeight="true" outlineLevel="0" collapsed="false">
      <c r="A531" s="3" t="n">
        <v>46539</v>
      </c>
      <c r="B531" s="4" t="s">
        <v>6</v>
      </c>
      <c r="C531" s="9" t="s">
        <v>11</v>
      </c>
      <c r="D531" s="6" t="s">
        <v>59</v>
      </c>
      <c r="E531" s="4" t="n">
        <v>69</v>
      </c>
      <c r="F531" s="6" t="s">
        <v>9</v>
      </c>
      <c r="G531" s="4" t="n">
        <v>2</v>
      </c>
      <c r="H531" s="7" t="s">
        <v>537</v>
      </c>
      <c r="I531" s="4"/>
      <c r="J531" s="4" t="n">
        <v>32</v>
      </c>
      <c r="K531" s="4"/>
      <c r="L531" s="4" t="n">
        <v>41</v>
      </c>
    </row>
    <row r="532" customFormat="false" ht="60" hidden="false" customHeight="true" outlineLevel="0" collapsed="false">
      <c r="A532" s="3" t="n">
        <v>46540</v>
      </c>
      <c r="B532" s="4" t="s">
        <v>14</v>
      </c>
      <c r="C532" s="9" t="s">
        <v>11</v>
      </c>
      <c r="D532" s="6" t="s">
        <v>538</v>
      </c>
      <c r="E532" s="4" t="n">
        <v>165</v>
      </c>
      <c r="F532" s="6" t="s">
        <v>47</v>
      </c>
      <c r="G532" s="4" t="n">
        <v>6</v>
      </c>
      <c r="H532" s="7" t="s">
        <v>539</v>
      </c>
      <c r="I532" s="4"/>
      <c r="J532" s="4" t="n">
        <v>77</v>
      </c>
      <c r="K532" s="4"/>
      <c r="L532" s="4" t="n">
        <v>356</v>
      </c>
    </row>
    <row r="533" customFormat="false" ht="24" hidden="false" customHeight="true" outlineLevel="0" collapsed="false">
      <c r="A533" s="3" t="n">
        <v>46541</v>
      </c>
      <c r="B533" s="4" t="s">
        <v>17</v>
      </c>
      <c r="C533" s="8" t="s">
        <v>7</v>
      </c>
      <c r="D533" s="6" t="s">
        <v>22</v>
      </c>
      <c r="E533" s="4" t="n">
        <v>92</v>
      </c>
      <c r="F533" s="6" t="s">
        <v>9</v>
      </c>
      <c r="G533" s="4" t="n">
        <v>4</v>
      </c>
      <c r="H533" s="7" t="s">
        <v>380</v>
      </c>
      <c r="I533" s="4" t="n">
        <v>15</v>
      </c>
      <c r="J533" s="4"/>
      <c r="K533" s="4"/>
      <c r="L533" s="4" t="n">
        <v>26</v>
      </c>
    </row>
    <row r="534" customFormat="false" ht="36" hidden="false" customHeight="true" outlineLevel="0" collapsed="false">
      <c r="A534" s="3" t="n">
        <v>46541</v>
      </c>
      <c r="B534" s="4" t="s">
        <v>17</v>
      </c>
      <c r="C534" s="10" t="s">
        <v>27</v>
      </c>
      <c r="D534" s="6" t="s">
        <v>277</v>
      </c>
      <c r="E534" s="4" t="n">
        <v>74</v>
      </c>
      <c r="F534" s="6" t="s">
        <v>4</v>
      </c>
      <c r="G534" s="4" t="n">
        <v>2</v>
      </c>
      <c r="H534" s="7" t="s">
        <v>540</v>
      </c>
      <c r="I534" s="4"/>
      <c r="J534" s="4"/>
      <c r="K534" s="4" t="n">
        <v>2550</v>
      </c>
      <c r="L534" s="4"/>
    </row>
    <row r="535" customFormat="false" ht="24" hidden="false" customHeight="true" outlineLevel="0" collapsed="false">
      <c r="A535" s="3" t="n">
        <v>46542</v>
      </c>
      <c r="B535" s="4" t="s">
        <v>21</v>
      </c>
      <c r="C535" s="8" t="s">
        <v>7</v>
      </c>
      <c r="D535" s="6" t="s">
        <v>22</v>
      </c>
      <c r="E535" s="4" t="n">
        <v>40</v>
      </c>
      <c r="F535" s="6" t="s">
        <v>19</v>
      </c>
      <c r="G535" s="4" t="n">
        <v>2</v>
      </c>
      <c r="H535" s="7" t="s">
        <v>416</v>
      </c>
      <c r="I535" s="4" t="n">
        <v>6</v>
      </c>
      <c r="J535" s="4"/>
      <c r="K535" s="4"/>
      <c r="L535" s="4" t="n">
        <v>20</v>
      </c>
    </row>
    <row r="536" customFormat="false" ht="48" hidden="false" customHeight="true" outlineLevel="0" collapsed="false">
      <c r="A536" s="3" t="n">
        <v>46542</v>
      </c>
      <c r="B536" s="4" t="s">
        <v>21</v>
      </c>
      <c r="C536" s="9" t="s">
        <v>11</v>
      </c>
      <c r="D536" s="6" t="s">
        <v>65</v>
      </c>
      <c r="E536" s="4" t="n">
        <v>135</v>
      </c>
      <c r="F536" s="6" t="s">
        <v>47</v>
      </c>
      <c r="G536" s="4" t="n">
        <v>5</v>
      </c>
      <c r="H536" s="7" t="s">
        <v>541</v>
      </c>
      <c r="I536" s="4"/>
      <c r="J536" s="4" t="n">
        <v>63</v>
      </c>
      <c r="K536" s="4"/>
      <c r="L536" s="4" t="n">
        <v>182</v>
      </c>
    </row>
    <row r="537" customFormat="false" ht="48" hidden="false" customHeight="true" outlineLevel="0" collapsed="false">
      <c r="A537" s="3" t="n">
        <v>46543</v>
      </c>
      <c r="B537" s="4" t="s">
        <v>26</v>
      </c>
      <c r="C537" s="10" t="s">
        <v>27</v>
      </c>
      <c r="D537" s="6" t="s">
        <v>103</v>
      </c>
      <c r="E537" s="4" t="n">
        <v>106</v>
      </c>
      <c r="F537" s="6" t="s">
        <v>4</v>
      </c>
      <c r="G537" s="4" t="n">
        <v>5</v>
      </c>
      <c r="H537" s="7" t="s">
        <v>542</v>
      </c>
      <c r="I537" s="4"/>
      <c r="J537" s="4"/>
      <c r="K537" s="4" t="n">
        <v>4100</v>
      </c>
      <c r="L537" s="4"/>
    </row>
    <row r="538" customFormat="false" ht="36" hidden="false" customHeight="true" outlineLevel="0" collapsed="false">
      <c r="A538" s="3" t="n">
        <v>46543</v>
      </c>
      <c r="B538" s="4" t="s">
        <v>26</v>
      </c>
      <c r="C538" s="8" t="s">
        <v>7</v>
      </c>
      <c r="D538" s="6" t="s">
        <v>543</v>
      </c>
      <c r="E538" s="4" t="n">
        <v>185</v>
      </c>
      <c r="F538" s="6" t="s">
        <v>9</v>
      </c>
      <c r="G538" s="4" t="n">
        <v>6</v>
      </c>
      <c r="H538" s="7" t="s">
        <v>544</v>
      </c>
      <c r="I538" s="4" t="n">
        <v>30</v>
      </c>
      <c r="J538" s="4"/>
      <c r="K538" s="4"/>
      <c r="L538" s="4" t="n">
        <v>148</v>
      </c>
    </row>
    <row r="539" customFormat="false" ht="36" hidden="false" customHeight="true" outlineLevel="0" collapsed="false">
      <c r="A539" s="3" t="n">
        <v>46544</v>
      </c>
      <c r="B539" s="4" t="s">
        <v>32</v>
      </c>
      <c r="C539" s="9" t="s">
        <v>11</v>
      </c>
      <c r="D539" s="6" t="s">
        <v>545</v>
      </c>
      <c r="E539" s="4" t="n">
        <v>364</v>
      </c>
      <c r="F539" s="6" t="s">
        <v>47</v>
      </c>
      <c r="G539" s="4" t="n">
        <v>6</v>
      </c>
      <c r="H539" s="7" t="s">
        <v>546</v>
      </c>
      <c r="I539" s="4"/>
      <c r="J539" s="4" t="n">
        <v>170</v>
      </c>
      <c r="K539" s="4"/>
      <c r="L539" s="4" t="n">
        <v>546</v>
      </c>
    </row>
    <row r="540" customFormat="false" ht="24" hidden="false" customHeight="true" outlineLevel="0" collapsed="false">
      <c r="A540" s="3" t="n">
        <v>46544</v>
      </c>
      <c r="B540" s="4" t="s">
        <v>32</v>
      </c>
      <c r="C540" s="8" t="s">
        <v>7</v>
      </c>
      <c r="D540" s="6" t="s">
        <v>547</v>
      </c>
      <c r="E540" s="4" t="n">
        <v>40</v>
      </c>
      <c r="F540" s="6" t="s">
        <v>47</v>
      </c>
      <c r="G540" s="4" t="n">
        <v>4</v>
      </c>
      <c r="H540" s="7" t="s">
        <v>548</v>
      </c>
      <c r="I540" s="4" t="n">
        <v>7</v>
      </c>
      <c r="J540" s="4"/>
      <c r="K540" s="4"/>
      <c r="L540" s="4"/>
    </row>
    <row r="541" customFormat="false" ht="15" hidden="false" customHeight="true" outlineLevel="0" collapsed="false">
      <c r="A541" s="11"/>
      <c r="B541" s="11"/>
      <c r="C541" s="11"/>
      <c r="D541" s="11"/>
      <c r="E541" s="11"/>
      <c r="F541" s="11"/>
      <c r="G541" s="11"/>
      <c r="H541" s="12" t="s">
        <v>35</v>
      </c>
      <c r="I541" s="11" t="n">
        <f aca="false">SUM(I529:I540)</f>
        <v>74</v>
      </c>
      <c r="J541" s="11" t="n">
        <f aca="false">SUM(J529:J540)</f>
        <v>342</v>
      </c>
      <c r="K541" s="11" t="n">
        <f aca="false">SUM(K529:K540)</f>
        <v>9500</v>
      </c>
      <c r="L541" s="11"/>
    </row>
    <row r="542" customFormat="false" ht="15" hidden="false" customHeight="true" outlineLevel="0" collapsed="false">
      <c r="A542" s="16" t="s">
        <v>549</v>
      </c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</row>
    <row r="543" customFormat="false" ht="36" hidden="false" customHeight="true" outlineLevel="0" collapsed="false">
      <c r="A543" s="3" t="n">
        <v>46545</v>
      </c>
      <c r="B543" s="4" t="s">
        <v>1</v>
      </c>
      <c r="C543" s="10" t="s">
        <v>27</v>
      </c>
      <c r="D543" s="6" t="s">
        <v>33</v>
      </c>
      <c r="E543" s="4" t="n">
        <v>74</v>
      </c>
      <c r="F543" s="6" t="s">
        <v>4</v>
      </c>
      <c r="G543" s="4" t="n">
        <v>4</v>
      </c>
      <c r="H543" s="7" t="s">
        <v>550</v>
      </c>
      <c r="I543" s="4"/>
      <c r="J543" s="4"/>
      <c r="K543" s="4" t="n">
        <v>3000</v>
      </c>
      <c r="L543" s="4"/>
    </row>
    <row r="544" customFormat="false" ht="72" hidden="false" customHeight="true" outlineLevel="0" collapsed="false">
      <c r="A544" s="3" t="n">
        <v>46546</v>
      </c>
      <c r="B544" s="4" t="s">
        <v>6</v>
      </c>
      <c r="C544" s="8" t="s">
        <v>7</v>
      </c>
      <c r="D544" s="6" t="s">
        <v>343</v>
      </c>
      <c r="E544" s="4" t="n">
        <v>90</v>
      </c>
      <c r="F544" s="6" t="s">
        <v>39</v>
      </c>
      <c r="G544" s="4" t="n">
        <v>7</v>
      </c>
      <c r="H544" s="7" t="s">
        <v>551</v>
      </c>
      <c r="I544" s="4" t="n">
        <v>17</v>
      </c>
      <c r="J544" s="4"/>
      <c r="K544" s="4"/>
      <c r="L544" s="4" t="n">
        <v>62</v>
      </c>
    </row>
    <row r="545" customFormat="false" ht="24" hidden="false" customHeight="true" outlineLevel="0" collapsed="false">
      <c r="A545" s="3" t="n">
        <v>46546</v>
      </c>
      <c r="B545" s="4" t="s">
        <v>6</v>
      </c>
      <c r="C545" s="9" t="s">
        <v>11</v>
      </c>
      <c r="D545" s="6" t="s">
        <v>59</v>
      </c>
      <c r="E545" s="4" t="n">
        <v>69</v>
      </c>
      <c r="F545" s="6" t="s">
        <v>9</v>
      </c>
      <c r="G545" s="4" t="n">
        <v>2</v>
      </c>
      <c r="H545" s="7" t="s">
        <v>537</v>
      </c>
      <c r="I545" s="4"/>
      <c r="J545" s="4" t="n">
        <v>32</v>
      </c>
      <c r="K545" s="4"/>
      <c r="L545" s="4" t="n">
        <v>41</v>
      </c>
    </row>
    <row r="546" customFormat="false" ht="60" hidden="false" customHeight="true" outlineLevel="0" collapsed="false">
      <c r="A546" s="3" t="n">
        <v>46547</v>
      </c>
      <c r="B546" s="4" t="s">
        <v>14</v>
      </c>
      <c r="C546" s="9" t="s">
        <v>11</v>
      </c>
      <c r="D546" s="6" t="s">
        <v>552</v>
      </c>
      <c r="E546" s="4" t="n">
        <v>174</v>
      </c>
      <c r="F546" s="6" t="s">
        <v>47</v>
      </c>
      <c r="G546" s="4" t="n">
        <v>6</v>
      </c>
      <c r="H546" s="7" t="s">
        <v>553</v>
      </c>
      <c r="I546" s="4"/>
      <c r="J546" s="4" t="n">
        <v>81</v>
      </c>
      <c r="K546" s="4"/>
      <c r="L546" s="4" t="n">
        <v>387</v>
      </c>
    </row>
    <row r="547" customFormat="false" ht="24" hidden="false" customHeight="true" outlineLevel="0" collapsed="false">
      <c r="A547" s="3" t="n">
        <v>46548</v>
      </c>
      <c r="B547" s="4" t="s">
        <v>17</v>
      </c>
      <c r="C547" s="8" t="s">
        <v>7</v>
      </c>
      <c r="D547" s="6" t="s">
        <v>22</v>
      </c>
      <c r="E547" s="4" t="n">
        <v>96</v>
      </c>
      <c r="F547" s="6" t="s">
        <v>9</v>
      </c>
      <c r="G547" s="4" t="n">
        <v>4</v>
      </c>
      <c r="H547" s="7" t="s">
        <v>554</v>
      </c>
      <c r="I547" s="4" t="n">
        <v>15.5</v>
      </c>
      <c r="J547" s="4"/>
      <c r="K547" s="4"/>
      <c r="L547" s="4" t="n">
        <v>26</v>
      </c>
    </row>
    <row r="548" customFormat="false" ht="36" hidden="false" customHeight="true" outlineLevel="0" collapsed="false">
      <c r="A548" s="3" t="n">
        <v>46548</v>
      </c>
      <c r="B548" s="4" t="s">
        <v>17</v>
      </c>
      <c r="C548" s="10" t="s">
        <v>27</v>
      </c>
      <c r="D548" s="6" t="s">
        <v>277</v>
      </c>
      <c r="E548" s="4" t="n">
        <v>78</v>
      </c>
      <c r="F548" s="6" t="s">
        <v>4</v>
      </c>
      <c r="G548" s="4" t="n">
        <v>2</v>
      </c>
      <c r="H548" s="7" t="s">
        <v>555</v>
      </c>
      <c r="I548" s="4"/>
      <c r="J548" s="4"/>
      <c r="K548" s="4" t="n">
        <v>2700</v>
      </c>
      <c r="L548" s="4"/>
    </row>
    <row r="549" customFormat="false" ht="24" hidden="false" customHeight="true" outlineLevel="0" collapsed="false">
      <c r="A549" s="3" t="n">
        <v>46549</v>
      </c>
      <c r="B549" s="4" t="s">
        <v>21</v>
      </c>
      <c r="C549" s="8" t="s">
        <v>7</v>
      </c>
      <c r="D549" s="6" t="s">
        <v>22</v>
      </c>
      <c r="E549" s="4" t="n">
        <v>40</v>
      </c>
      <c r="F549" s="6" t="s">
        <v>19</v>
      </c>
      <c r="G549" s="4" t="n">
        <v>2</v>
      </c>
      <c r="H549" s="7" t="s">
        <v>416</v>
      </c>
      <c r="I549" s="4" t="n">
        <v>6</v>
      </c>
      <c r="J549" s="4"/>
      <c r="K549" s="4"/>
      <c r="L549" s="4" t="n">
        <v>20</v>
      </c>
    </row>
    <row r="550" customFormat="false" ht="48" hidden="false" customHeight="true" outlineLevel="0" collapsed="false">
      <c r="A550" s="3" t="n">
        <v>46549</v>
      </c>
      <c r="B550" s="4" t="s">
        <v>21</v>
      </c>
      <c r="C550" s="9" t="s">
        <v>11</v>
      </c>
      <c r="D550" s="6" t="s">
        <v>65</v>
      </c>
      <c r="E550" s="4" t="n">
        <v>144</v>
      </c>
      <c r="F550" s="6" t="s">
        <v>47</v>
      </c>
      <c r="G550" s="4" t="n">
        <v>5</v>
      </c>
      <c r="H550" s="7" t="s">
        <v>556</v>
      </c>
      <c r="I550" s="4"/>
      <c r="J550" s="4" t="n">
        <v>67</v>
      </c>
      <c r="K550" s="4"/>
      <c r="L550" s="4" t="n">
        <v>194</v>
      </c>
    </row>
    <row r="551" customFormat="false" ht="48" hidden="false" customHeight="true" outlineLevel="0" collapsed="false">
      <c r="A551" s="3" t="n">
        <v>46550</v>
      </c>
      <c r="B551" s="4" t="s">
        <v>26</v>
      </c>
      <c r="C551" s="10" t="s">
        <v>27</v>
      </c>
      <c r="D551" s="6" t="s">
        <v>103</v>
      </c>
      <c r="E551" s="4" t="n">
        <v>110</v>
      </c>
      <c r="F551" s="6" t="s">
        <v>4</v>
      </c>
      <c r="G551" s="4" t="n">
        <v>5</v>
      </c>
      <c r="H551" s="7" t="s">
        <v>557</v>
      </c>
      <c r="I551" s="4"/>
      <c r="J551" s="4"/>
      <c r="K551" s="4" t="n">
        <v>4300</v>
      </c>
      <c r="L551" s="4"/>
    </row>
    <row r="552" customFormat="false" ht="36" hidden="false" customHeight="true" outlineLevel="0" collapsed="false">
      <c r="A552" s="3" t="n">
        <v>46550</v>
      </c>
      <c r="B552" s="4" t="s">
        <v>26</v>
      </c>
      <c r="C552" s="8" t="s">
        <v>7</v>
      </c>
      <c r="D552" s="6" t="s">
        <v>558</v>
      </c>
      <c r="E552" s="4" t="n">
        <v>197</v>
      </c>
      <c r="F552" s="6" t="s">
        <v>9</v>
      </c>
      <c r="G552" s="4" t="n">
        <v>6</v>
      </c>
      <c r="H552" s="7" t="s">
        <v>559</v>
      </c>
      <c r="I552" s="4" t="n">
        <v>32</v>
      </c>
      <c r="J552" s="4"/>
      <c r="K552" s="4"/>
      <c r="L552" s="4" t="n">
        <v>158</v>
      </c>
    </row>
    <row r="553" customFormat="false" ht="36" hidden="false" customHeight="true" outlineLevel="0" collapsed="false">
      <c r="A553" s="3" t="n">
        <v>46551</v>
      </c>
      <c r="B553" s="4" t="s">
        <v>32</v>
      </c>
      <c r="C553" s="9" t="s">
        <v>11</v>
      </c>
      <c r="D553" s="6" t="s">
        <v>560</v>
      </c>
      <c r="E553" s="4" t="n">
        <v>386</v>
      </c>
      <c r="F553" s="6" t="s">
        <v>47</v>
      </c>
      <c r="G553" s="4" t="n">
        <v>6</v>
      </c>
      <c r="H553" s="7" t="s">
        <v>561</v>
      </c>
      <c r="I553" s="4"/>
      <c r="J553" s="4" t="n">
        <v>180</v>
      </c>
      <c r="K553" s="4"/>
      <c r="L553" s="4" t="n">
        <v>579</v>
      </c>
    </row>
    <row r="554" customFormat="false" ht="24" hidden="false" customHeight="true" outlineLevel="0" collapsed="false">
      <c r="A554" s="3" t="n">
        <v>46551</v>
      </c>
      <c r="B554" s="4" t="s">
        <v>32</v>
      </c>
      <c r="C554" s="8" t="s">
        <v>7</v>
      </c>
      <c r="D554" s="6" t="s">
        <v>562</v>
      </c>
      <c r="E554" s="4" t="n">
        <v>45</v>
      </c>
      <c r="F554" s="6" t="s">
        <v>47</v>
      </c>
      <c r="G554" s="4" t="n">
        <v>4</v>
      </c>
      <c r="H554" s="7" t="s">
        <v>563</v>
      </c>
      <c r="I554" s="4" t="n">
        <v>7.5</v>
      </c>
      <c r="J554" s="4"/>
      <c r="K554" s="4"/>
      <c r="L554" s="4"/>
    </row>
    <row r="555" customFormat="false" ht="15" hidden="false" customHeight="true" outlineLevel="0" collapsed="false">
      <c r="A555" s="11"/>
      <c r="B555" s="11"/>
      <c r="C555" s="11"/>
      <c r="D555" s="11"/>
      <c r="E555" s="11"/>
      <c r="F555" s="11"/>
      <c r="G555" s="11"/>
      <c r="H555" s="12" t="s">
        <v>35</v>
      </c>
      <c r="I555" s="11" t="n">
        <f aca="false">SUM(I543:I554)</f>
        <v>78</v>
      </c>
      <c r="J555" s="11" t="n">
        <f aca="false">SUM(J543:J554)</f>
        <v>360</v>
      </c>
      <c r="K555" s="11" t="n">
        <f aca="false">SUM(K543:K554)</f>
        <v>10000</v>
      </c>
      <c r="L555" s="11"/>
    </row>
    <row r="556" customFormat="false" ht="15" hidden="false" customHeight="true" outlineLevel="0" collapsed="false">
      <c r="A556" s="22" t="s">
        <v>564</v>
      </c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customFormat="false" ht="15" hidden="false" customHeight="true" outlineLevel="0" collapsed="false">
      <c r="A557" s="3" t="n">
        <v>46552</v>
      </c>
      <c r="B557" s="4" t="s">
        <v>1</v>
      </c>
      <c r="C557" s="5" t="s">
        <v>2</v>
      </c>
      <c r="D557" s="6" t="s">
        <v>3</v>
      </c>
      <c r="E557" s="4" t="s">
        <v>4</v>
      </c>
      <c r="F557" s="6" t="s">
        <v>4</v>
      </c>
      <c r="G557" s="4" t="n">
        <v>1</v>
      </c>
      <c r="H557" s="7" t="s">
        <v>56</v>
      </c>
      <c r="I557" s="4"/>
      <c r="J557" s="4"/>
      <c r="K557" s="4"/>
      <c r="L557" s="4"/>
    </row>
    <row r="558" customFormat="false" ht="108" hidden="false" customHeight="true" outlineLevel="0" collapsed="false">
      <c r="A558" s="3" t="n">
        <v>46553</v>
      </c>
      <c r="B558" s="4" t="s">
        <v>6</v>
      </c>
      <c r="C558" s="8" t="s">
        <v>7</v>
      </c>
      <c r="D558" s="6" t="s">
        <v>565</v>
      </c>
      <c r="E558" s="4" t="n">
        <v>48</v>
      </c>
      <c r="F558" s="6" t="s">
        <v>47</v>
      </c>
      <c r="G558" s="4" t="n">
        <v>5</v>
      </c>
      <c r="H558" s="7" t="s">
        <v>566</v>
      </c>
      <c r="I558" s="4" t="n">
        <v>8.5</v>
      </c>
      <c r="J558" s="4"/>
      <c r="K558" s="4"/>
      <c r="L558" s="4" t="n">
        <v>48</v>
      </c>
    </row>
    <row r="559" customFormat="false" ht="24" hidden="false" customHeight="true" outlineLevel="0" collapsed="false">
      <c r="A559" s="3" t="n">
        <v>46553</v>
      </c>
      <c r="B559" s="4" t="s">
        <v>6</v>
      </c>
      <c r="C559" s="9" t="s">
        <v>11</v>
      </c>
      <c r="D559" s="6" t="s">
        <v>59</v>
      </c>
      <c r="E559" s="4" t="n">
        <v>51</v>
      </c>
      <c r="F559" s="6" t="s">
        <v>9</v>
      </c>
      <c r="G559" s="4" t="n">
        <v>2</v>
      </c>
      <c r="H559" s="7" t="s">
        <v>239</v>
      </c>
      <c r="I559" s="4"/>
      <c r="J559" s="4" t="n">
        <v>24</v>
      </c>
      <c r="K559" s="4"/>
      <c r="L559" s="4" t="n">
        <v>31</v>
      </c>
    </row>
    <row r="560" customFormat="false" ht="60" hidden="false" customHeight="true" outlineLevel="0" collapsed="false">
      <c r="A560" s="3" t="n">
        <v>46554</v>
      </c>
      <c r="B560" s="4" t="s">
        <v>14</v>
      </c>
      <c r="C560" s="9" t="s">
        <v>11</v>
      </c>
      <c r="D560" s="6" t="s">
        <v>567</v>
      </c>
      <c r="E560" s="4" t="n">
        <v>90</v>
      </c>
      <c r="F560" s="6" t="s">
        <v>43</v>
      </c>
      <c r="G560" s="4" t="n">
        <v>5</v>
      </c>
      <c r="H560" s="7" t="s">
        <v>568</v>
      </c>
      <c r="I560" s="4"/>
      <c r="J560" s="4" t="n">
        <v>42</v>
      </c>
      <c r="K560" s="4"/>
      <c r="L560" s="4" t="n">
        <v>196</v>
      </c>
    </row>
    <row r="561" customFormat="false" ht="24" hidden="false" customHeight="true" outlineLevel="0" collapsed="false">
      <c r="A561" s="3" t="n">
        <v>46555</v>
      </c>
      <c r="B561" s="4" t="s">
        <v>17</v>
      </c>
      <c r="C561" s="8" t="s">
        <v>7</v>
      </c>
      <c r="D561" s="6" t="s">
        <v>22</v>
      </c>
      <c r="E561" s="4" t="n">
        <v>46</v>
      </c>
      <c r="F561" s="6" t="s">
        <v>9</v>
      </c>
      <c r="G561" s="4" t="n">
        <v>4</v>
      </c>
      <c r="H561" s="7" t="s">
        <v>569</v>
      </c>
      <c r="I561" s="4" t="n">
        <v>7.5</v>
      </c>
      <c r="J561" s="4"/>
      <c r="K561" s="4"/>
      <c r="L561" s="4" t="n">
        <v>26</v>
      </c>
    </row>
    <row r="562" customFormat="false" ht="36" hidden="false" customHeight="true" outlineLevel="0" collapsed="false">
      <c r="A562" s="3" t="n">
        <v>46555</v>
      </c>
      <c r="B562" s="4" t="s">
        <v>17</v>
      </c>
      <c r="C562" s="10" t="s">
        <v>27</v>
      </c>
      <c r="D562" s="6" t="s">
        <v>277</v>
      </c>
      <c r="E562" s="4" t="n">
        <v>59</v>
      </c>
      <c r="F562" s="6" t="s">
        <v>4</v>
      </c>
      <c r="G562" s="4" t="n">
        <v>2</v>
      </c>
      <c r="H562" s="7" t="s">
        <v>570</v>
      </c>
      <c r="I562" s="4"/>
      <c r="J562" s="4"/>
      <c r="K562" s="4" t="n">
        <v>2000</v>
      </c>
      <c r="L562" s="4"/>
    </row>
    <row r="563" customFormat="false" ht="24" hidden="false" customHeight="true" outlineLevel="0" collapsed="false">
      <c r="A563" s="3" t="n">
        <v>46556</v>
      </c>
      <c r="B563" s="4" t="s">
        <v>21</v>
      </c>
      <c r="C563" s="8" t="s">
        <v>7</v>
      </c>
      <c r="D563" s="6" t="s">
        <v>22</v>
      </c>
      <c r="E563" s="4" t="n">
        <v>27</v>
      </c>
      <c r="F563" s="6" t="s">
        <v>19</v>
      </c>
      <c r="G563" s="4" t="n">
        <v>2</v>
      </c>
      <c r="H563" s="7" t="s">
        <v>159</v>
      </c>
      <c r="I563" s="4" t="n">
        <v>4</v>
      </c>
      <c r="J563" s="4"/>
      <c r="K563" s="4"/>
      <c r="L563" s="4" t="n">
        <v>20</v>
      </c>
    </row>
    <row r="564" customFormat="false" ht="48" hidden="false" customHeight="true" outlineLevel="0" collapsed="false">
      <c r="A564" s="3" t="n">
        <v>46556</v>
      </c>
      <c r="B564" s="4" t="s">
        <v>21</v>
      </c>
      <c r="C564" s="9" t="s">
        <v>11</v>
      </c>
      <c r="D564" s="6" t="s">
        <v>46</v>
      </c>
      <c r="E564" s="4" t="n">
        <v>73</v>
      </c>
      <c r="F564" s="6" t="s">
        <v>47</v>
      </c>
      <c r="G564" s="4" t="n">
        <v>3</v>
      </c>
      <c r="H564" s="7" t="s">
        <v>571</v>
      </c>
      <c r="I564" s="4"/>
      <c r="J564" s="4" t="n">
        <v>34</v>
      </c>
      <c r="K564" s="4"/>
      <c r="L564" s="4" t="n">
        <v>99</v>
      </c>
    </row>
    <row r="565" customFormat="false" ht="48" hidden="false" customHeight="true" outlineLevel="0" collapsed="false">
      <c r="A565" s="3" t="n">
        <v>46557</v>
      </c>
      <c r="B565" s="4" t="s">
        <v>26</v>
      </c>
      <c r="C565" s="10" t="s">
        <v>27</v>
      </c>
      <c r="D565" s="6" t="s">
        <v>103</v>
      </c>
      <c r="E565" s="4" t="n">
        <v>83</v>
      </c>
      <c r="F565" s="6" t="s">
        <v>4</v>
      </c>
      <c r="G565" s="4" t="n">
        <v>5</v>
      </c>
      <c r="H565" s="7" t="s">
        <v>572</v>
      </c>
      <c r="I565" s="4"/>
      <c r="J565" s="4"/>
      <c r="K565" s="4" t="n">
        <v>3000</v>
      </c>
      <c r="L565" s="4"/>
    </row>
    <row r="566" customFormat="false" ht="24" hidden="false" customHeight="true" outlineLevel="0" collapsed="false">
      <c r="A566" s="3" t="n">
        <v>46557</v>
      </c>
      <c r="B566" s="4" t="s">
        <v>26</v>
      </c>
      <c r="C566" s="8" t="s">
        <v>7</v>
      </c>
      <c r="D566" s="6" t="s">
        <v>177</v>
      </c>
      <c r="E566" s="4" t="n">
        <v>86</v>
      </c>
      <c r="F566" s="6" t="s">
        <v>9</v>
      </c>
      <c r="G566" s="4" t="n">
        <v>6</v>
      </c>
      <c r="H566" s="7" t="s">
        <v>326</v>
      </c>
      <c r="I566" s="4" t="n">
        <v>14</v>
      </c>
      <c r="J566" s="4"/>
      <c r="K566" s="4"/>
      <c r="L566" s="4" t="n">
        <v>69</v>
      </c>
    </row>
    <row r="567" customFormat="false" ht="36" hidden="false" customHeight="true" outlineLevel="0" collapsed="false">
      <c r="A567" s="3" t="n">
        <v>46558</v>
      </c>
      <c r="B567" s="4" t="s">
        <v>32</v>
      </c>
      <c r="C567" s="9" t="s">
        <v>11</v>
      </c>
      <c r="D567" s="6" t="s">
        <v>573</v>
      </c>
      <c r="E567" s="4" t="n">
        <v>107</v>
      </c>
      <c r="F567" s="6" t="s">
        <v>9</v>
      </c>
      <c r="G567" s="4" t="n">
        <v>6</v>
      </c>
      <c r="H567" s="7" t="s">
        <v>574</v>
      </c>
      <c r="I567" s="4"/>
      <c r="J567" s="4" t="n">
        <v>50</v>
      </c>
      <c r="K567" s="4"/>
      <c r="L567" s="4" t="n">
        <v>160</v>
      </c>
    </row>
    <row r="568" customFormat="false" ht="15" hidden="false" customHeight="true" outlineLevel="0" collapsed="false">
      <c r="A568" s="11"/>
      <c r="B568" s="11"/>
      <c r="C568" s="11"/>
      <c r="D568" s="11"/>
      <c r="E568" s="11"/>
      <c r="F568" s="11"/>
      <c r="G568" s="11"/>
      <c r="H568" s="12" t="s">
        <v>35</v>
      </c>
      <c r="I568" s="11" t="n">
        <f aca="false">SUM(I557:I567)</f>
        <v>34</v>
      </c>
      <c r="J568" s="11" t="n">
        <f aca="false">SUM(J557:J567)</f>
        <v>150</v>
      </c>
      <c r="K568" s="11" t="n">
        <f aca="false">SUM(K557:K567)</f>
        <v>5000</v>
      </c>
      <c r="L568" s="11"/>
    </row>
    <row r="569" customFormat="false" ht="15" hidden="false" customHeight="true" outlineLevel="0" collapsed="false">
      <c r="A569" s="27" t="s">
        <v>575</v>
      </c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</row>
    <row r="570" customFormat="false" ht="15" hidden="false" customHeight="true" outlineLevel="0" collapsed="false">
      <c r="A570" s="3" t="n">
        <v>46559</v>
      </c>
      <c r="B570" s="4" t="s">
        <v>1</v>
      </c>
      <c r="C570" s="23" t="s">
        <v>2</v>
      </c>
      <c r="D570" s="6" t="s">
        <v>576</v>
      </c>
      <c r="E570" s="4" t="s">
        <v>4</v>
      </c>
      <c r="F570" s="6"/>
      <c r="G570" s="4"/>
      <c r="H570" s="7"/>
      <c r="I570" s="4"/>
      <c r="J570" s="4"/>
      <c r="K570" s="4"/>
      <c r="L570" s="4"/>
    </row>
    <row r="571" customFormat="false" ht="15" hidden="false" customHeight="true" outlineLevel="0" collapsed="false">
      <c r="A571" s="3" t="n">
        <v>46560</v>
      </c>
      <c r="B571" s="4" t="s">
        <v>6</v>
      </c>
      <c r="C571" s="9" t="s">
        <v>11</v>
      </c>
      <c r="D571" s="6" t="s">
        <v>577</v>
      </c>
      <c r="E571" s="4" t="n">
        <v>43</v>
      </c>
      <c r="F571" s="6" t="s">
        <v>19</v>
      </c>
      <c r="G571" s="4" t="n">
        <v>2</v>
      </c>
      <c r="H571" s="7" t="s">
        <v>578</v>
      </c>
      <c r="I571" s="4"/>
      <c r="J571" s="4" t="n">
        <v>19</v>
      </c>
      <c r="K571" s="4"/>
      <c r="L571" s="4"/>
    </row>
    <row r="572" customFormat="false" ht="15" hidden="false" customHeight="true" outlineLevel="0" collapsed="false">
      <c r="A572" s="3" t="n">
        <v>46560</v>
      </c>
      <c r="B572" s="4" t="s">
        <v>6</v>
      </c>
      <c r="C572" s="8" t="s">
        <v>7</v>
      </c>
      <c r="D572" s="6" t="s">
        <v>18</v>
      </c>
      <c r="E572" s="4" t="n">
        <v>17</v>
      </c>
      <c r="F572" s="6" t="s">
        <v>19</v>
      </c>
      <c r="G572" s="4" t="n">
        <v>2</v>
      </c>
      <c r="H572" s="7" t="s">
        <v>579</v>
      </c>
      <c r="I572" s="4" t="n">
        <v>2.5</v>
      </c>
      <c r="J572" s="4"/>
      <c r="K572" s="4"/>
      <c r="L572" s="4"/>
    </row>
    <row r="573" customFormat="false" ht="15" hidden="false" customHeight="true" outlineLevel="0" collapsed="false">
      <c r="A573" s="3" t="n">
        <v>46561</v>
      </c>
      <c r="B573" s="4" t="s">
        <v>14</v>
      </c>
      <c r="C573" s="9" t="s">
        <v>11</v>
      </c>
      <c r="D573" s="6" t="s">
        <v>580</v>
      </c>
      <c r="E573" s="4" t="n">
        <v>37</v>
      </c>
      <c r="F573" s="6" t="s">
        <v>19</v>
      </c>
      <c r="G573" s="4" t="n">
        <v>2</v>
      </c>
      <c r="H573" s="7" t="s">
        <v>581</v>
      </c>
      <c r="I573" s="4"/>
      <c r="J573" s="4" t="n">
        <v>17</v>
      </c>
      <c r="K573" s="4"/>
      <c r="L573" s="4"/>
    </row>
    <row r="574" customFormat="false" ht="24" hidden="false" customHeight="true" outlineLevel="0" collapsed="false">
      <c r="A574" s="3" t="n">
        <v>46561</v>
      </c>
      <c r="B574" s="4" t="s">
        <v>14</v>
      </c>
      <c r="C574" s="28" t="s">
        <v>27</v>
      </c>
      <c r="D574" s="6" t="s">
        <v>582</v>
      </c>
      <c r="E574" s="4" t="n">
        <v>44</v>
      </c>
      <c r="F574" s="6" t="s">
        <v>19</v>
      </c>
      <c r="G574" s="4" t="n">
        <v>3</v>
      </c>
      <c r="H574" s="7" t="s">
        <v>583</v>
      </c>
      <c r="I574" s="4"/>
      <c r="J574" s="4"/>
      <c r="K574" s="4" t="n">
        <v>1500</v>
      </c>
      <c r="L574" s="4"/>
    </row>
    <row r="575" customFormat="false" ht="15" hidden="false" customHeight="true" outlineLevel="0" collapsed="false">
      <c r="A575" s="3" t="n">
        <v>46562</v>
      </c>
      <c r="B575" s="4" t="s">
        <v>17</v>
      </c>
      <c r="C575" s="9" t="s">
        <v>11</v>
      </c>
      <c r="D575" s="6" t="s">
        <v>584</v>
      </c>
      <c r="E575" s="4" t="n">
        <v>27</v>
      </c>
      <c r="F575" s="6" t="s">
        <v>19</v>
      </c>
      <c r="G575" s="4" t="n">
        <v>2</v>
      </c>
      <c r="H575" s="7" t="s">
        <v>585</v>
      </c>
      <c r="I575" s="4"/>
      <c r="J575" s="4" t="n">
        <v>12</v>
      </c>
      <c r="K575" s="4"/>
      <c r="L575" s="4"/>
    </row>
    <row r="576" customFormat="false" ht="15" hidden="false" customHeight="true" outlineLevel="0" collapsed="false">
      <c r="A576" s="3" t="n">
        <v>46562</v>
      </c>
      <c r="B576" s="4" t="s">
        <v>17</v>
      </c>
      <c r="C576" s="8" t="s">
        <v>7</v>
      </c>
      <c r="D576" s="6" t="s">
        <v>586</v>
      </c>
      <c r="E576" s="4" t="n">
        <v>15</v>
      </c>
      <c r="F576" s="6" t="s">
        <v>19</v>
      </c>
      <c r="G576" s="4" t="n">
        <v>2</v>
      </c>
      <c r="H576" s="7" t="s">
        <v>587</v>
      </c>
      <c r="I576" s="4" t="n">
        <v>2.5</v>
      </c>
      <c r="J576" s="4"/>
      <c r="K576" s="4"/>
      <c r="L576" s="4"/>
    </row>
    <row r="577" customFormat="false" ht="24" hidden="false" customHeight="true" outlineLevel="0" collapsed="false">
      <c r="A577" s="3" t="n">
        <v>46563</v>
      </c>
      <c r="B577" s="4" t="s">
        <v>21</v>
      </c>
      <c r="C577" s="10" t="s">
        <v>27</v>
      </c>
      <c r="D577" s="6" t="s">
        <v>588</v>
      </c>
      <c r="E577" s="4" t="n">
        <v>29</v>
      </c>
      <c r="F577" s="6" t="s">
        <v>19</v>
      </c>
      <c r="G577" s="4" t="n">
        <v>2</v>
      </c>
      <c r="H577" s="7" t="s">
        <v>589</v>
      </c>
      <c r="I577" s="4"/>
      <c r="J577" s="4"/>
      <c r="K577" s="4" t="n">
        <v>1000</v>
      </c>
      <c r="L577" s="4"/>
    </row>
    <row r="578" customFormat="false" ht="15" hidden="false" customHeight="true" outlineLevel="0" collapsed="false">
      <c r="A578" s="3" t="n">
        <v>46563</v>
      </c>
      <c r="B578" s="4" t="s">
        <v>21</v>
      </c>
      <c r="C578" s="8" t="s">
        <v>7</v>
      </c>
      <c r="D578" s="6" t="s">
        <v>590</v>
      </c>
      <c r="E578" s="4" t="n">
        <v>15</v>
      </c>
      <c r="F578" s="6" t="s">
        <v>19</v>
      </c>
      <c r="G578" s="4" t="n">
        <v>2</v>
      </c>
      <c r="H578" s="7" t="s">
        <v>591</v>
      </c>
      <c r="I578" s="4" t="n">
        <v>2.5</v>
      </c>
      <c r="J578" s="4"/>
      <c r="K578" s="4"/>
      <c r="L578" s="4"/>
    </row>
    <row r="579" customFormat="false" ht="15" hidden="false" customHeight="true" outlineLevel="0" collapsed="false">
      <c r="A579" s="3" t="n">
        <v>46564</v>
      </c>
      <c r="B579" s="4" t="s">
        <v>26</v>
      </c>
      <c r="C579" s="9" t="s">
        <v>11</v>
      </c>
      <c r="D579" s="6" t="s">
        <v>592</v>
      </c>
      <c r="E579" s="4" t="n">
        <v>17</v>
      </c>
      <c r="F579" s="6" t="s">
        <v>19</v>
      </c>
      <c r="G579" s="4" t="n">
        <v>2</v>
      </c>
      <c r="H579" s="7" t="s">
        <v>593</v>
      </c>
      <c r="I579" s="4"/>
      <c r="J579" s="4" t="n">
        <v>8</v>
      </c>
      <c r="K579" s="4"/>
      <c r="L579" s="4"/>
    </row>
    <row r="580" customFormat="false" ht="15" hidden="false" customHeight="true" outlineLevel="0" collapsed="false">
      <c r="A580" s="3" t="n">
        <v>46565</v>
      </c>
      <c r="B580" s="19" t="s">
        <v>32</v>
      </c>
      <c r="C580" s="15" t="s">
        <v>7</v>
      </c>
      <c r="D580" s="19" t="s">
        <v>594</v>
      </c>
      <c r="E580" s="19" t="s">
        <v>4</v>
      </c>
      <c r="F580" s="19" t="s">
        <v>9</v>
      </c>
      <c r="G580" s="19" t="n">
        <v>3</v>
      </c>
      <c r="H580" s="24" t="s">
        <v>595</v>
      </c>
      <c r="I580" s="19" t="n">
        <v>42</v>
      </c>
      <c r="J580" s="19" t="n">
        <v>180</v>
      </c>
      <c r="K580" s="19" t="n">
        <v>3800</v>
      </c>
    </row>
    <row r="581" customFormat="false" ht="15" hidden="false" customHeight="true" outlineLevel="0" collapsed="false">
      <c r="A581" s="11"/>
      <c r="B581" s="11"/>
      <c r="C581" s="11"/>
      <c r="D581" s="11"/>
      <c r="E581" s="11"/>
      <c r="F581" s="11"/>
      <c r="G581" s="11"/>
      <c r="H581" s="12" t="s">
        <v>35</v>
      </c>
      <c r="I581" s="11" t="n">
        <f aca="false">SUM(I570:I580)</f>
        <v>49.5</v>
      </c>
      <c r="J581" s="11" t="n">
        <f aca="false">SUM(J570:J580)</f>
        <v>236</v>
      </c>
      <c r="K581" s="11" t="n">
        <f aca="false">SUM(K570:K580)</f>
        <v>6300</v>
      </c>
      <c r="L581" s="11"/>
    </row>
  </sheetData>
  <mergeCells count="43">
    <mergeCell ref="A1:L1"/>
    <mergeCell ref="A13:L13"/>
    <mergeCell ref="A25:L25"/>
    <mergeCell ref="A35:L35"/>
    <mergeCell ref="A48:L48"/>
    <mergeCell ref="A59:L59"/>
    <mergeCell ref="A72:L72"/>
    <mergeCell ref="A85:L85"/>
    <mergeCell ref="A98:L98"/>
    <mergeCell ref="A111:L111"/>
    <mergeCell ref="A125:L125"/>
    <mergeCell ref="A139:L139"/>
    <mergeCell ref="A153:L153"/>
    <mergeCell ref="A167:L167"/>
    <mergeCell ref="A181:L181"/>
    <mergeCell ref="A195:L195"/>
    <mergeCell ref="A209:L209"/>
    <mergeCell ref="A219:L219"/>
    <mergeCell ref="A229:L229"/>
    <mergeCell ref="A244:L244"/>
    <mergeCell ref="A259:L259"/>
    <mergeCell ref="A274:L274"/>
    <mergeCell ref="A288:L288"/>
    <mergeCell ref="A303:L303"/>
    <mergeCell ref="A316:L316"/>
    <mergeCell ref="A331:L331"/>
    <mergeCell ref="A346:L346"/>
    <mergeCell ref="A355:L355"/>
    <mergeCell ref="A370:L370"/>
    <mergeCell ref="A385:L385"/>
    <mergeCell ref="A399:L399"/>
    <mergeCell ref="A414:L414"/>
    <mergeCell ref="A428:L428"/>
    <mergeCell ref="A443:L443"/>
    <mergeCell ref="A457:L457"/>
    <mergeCell ref="A470:L470"/>
    <mergeCell ref="A485:L485"/>
    <mergeCell ref="A500:L500"/>
    <mergeCell ref="A514:L514"/>
    <mergeCell ref="A528:L528"/>
    <mergeCell ref="A542:L542"/>
    <mergeCell ref="A556:L556"/>
    <mergeCell ref="A569:L5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27.75" hidden="false" customHeight="true" outlineLevel="0" collapsed="false">
      <c r="A1" s="29" t="s">
        <v>596</v>
      </c>
    </row>
    <row r="3" customFormat="false" ht="27.75" hidden="false" customHeight="true" outlineLevel="0" collapsed="false">
      <c r="A3" s="29" t="s">
        <v>597</v>
      </c>
    </row>
    <row r="4" customFormat="false" ht="15" hidden="false" customHeight="true" outlineLevel="0" collapsed="false">
      <c r="A4" s="30" t="s">
        <v>598</v>
      </c>
      <c r="B4" s="30" t="s">
        <v>599</v>
      </c>
      <c r="C4" s="30" t="s">
        <v>600</v>
      </c>
    </row>
    <row r="5" customFormat="false" ht="27.75" hidden="false" customHeight="true" outlineLevel="0" collapsed="false">
      <c r="A5" s="31" t="s">
        <v>601</v>
      </c>
      <c r="B5" s="31" t="s">
        <v>602</v>
      </c>
      <c r="C5" s="31" t="s">
        <v>603</v>
      </c>
    </row>
    <row r="6" customFormat="false" ht="27.75" hidden="false" customHeight="true" outlineLevel="0" collapsed="false">
      <c r="A6" s="31" t="s">
        <v>604</v>
      </c>
      <c r="B6" s="31" t="s">
        <v>605</v>
      </c>
      <c r="C6" s="31" t="s">
        <v>606</v>
      </c>
    </row>
    <row r="7" customFormat="false" ht="27.75" hidden="false" customHeight="true" outlineLevel="0" collapsed="false">
      <c r="A7" s="31" t="s">
        <v>607</v>
      </c>
      <c r="B7" s="31" t="s">
        <v>608</v>
      </c>
      <c r="C7" s="31" t="s">
        <v>609</v>
      </c>
    </row>
    <row r="8" customFormat="false" ht="27.75" hidden="false" customHeight="true" outlineLevel="0" collapsed="false">
      <c r="A8" s="31" t="s">
        <v>610</v>
      </c>
      <c r="B8" s="31" t="s">
        <v>611</v>
      </c>
      <c r="C8" s="31" t="s">
        <v>612</v>
      </c>
    </row>
    <row r="9" customFormat="false" ht="27.75" hidden="false" customHeight="true" outlineLevel="0" collapsed="false">
      <c r="A9" s="31" t="s">
        <v>613</v>
      </c>
      <c r="B9" s="31" t="s">
        <v>614</v>
      </c>
      <c r="C9" s="31" t="s">
        <v>615</v>
      </c>
    </row>
    <row r="11" customFormat="false" ht="41.25" hidden="false" customHeight="true" outlineLevel="0" collapsed="false">
      <c r="A11" s="29" t="s">
        <v>616</v>
      </c>
    </row>
    <row r="12" customFormat="false" ht="15" hidden="false" customHeight="true" outlineLevel="0" collapsed="false">
      <c r="A12" s="30" t="s">
        <v>617</v>
      </c>
      <c r="B12" s="30" t="s">
        <v>618</v>
      </c>
      <c r="C12" s="30" t="s">
        <v>619</v>
      </c>
      <c r="D12" s="30" t="s">
        <v>620</v>
      </c>
      <c r="E12" s="30" t="s">
        <v>621</v>
      </c>
      <c r="F12" s="30" t="s">
        <v>622</v>
      </c>
      <c r="G12" s="30" t="s">
        <v>623</v>
      </c>
    </row>
    <row r="13" customFormat="false" ht="15" hidden="false" customHeight="true" outlineLevel="0" collapsed="false">
      <c r="A13" s="31" t="s">
        <v>624</v>
      </c>
      <c r="B13" s="31" t="s">
        <v>625</v>
      </c>
      <c r="C13" s="31" t="s">
        <v>626</v>
      </c>
      <c r="D13" s="31" t="s">
        <v>627</v>
      </c>
      <c r="E13" s="31" t="s">
        <v>628</v>
      </c>
      <c r="F13" s="31" t="s">
        <v>626</v>
      </c>
      <c r="G13" s="31" t="s">
        <v>629</v>
      </c>
    </row>
    <row r="14" customFormat="false" ht="15" hidden="false" customHeight="true" outlineLevel="0" collapsed="false">
      <c r="A14" s="31" t="s">
        <v>630</v>
      </c>
      <c r="B14" s="31" t="s">
        <v>631</v>
      </c>
      <c r="C14" s="31" t="s">
        <v>632</v>
      </c>
      <c r="D14" s="31" t="s">
        <v>633</v>
      </c>
      <c r="E14" s="31" t="s">
        <v>634</v>
      </c>
      <c r="F14" s="31" t="s">
        <v>632</v>
      </c>
      <c r="G14" s="31" t="s">
        <v>635</v>
      </c>
    </row>
    <row r="15" customFormat="false" ht="15" hidden="false" customHeight="true" outlineLevel="0" collapsed="false">
      <c r="A15" s="31" t="s">
        <v>636</v>
      </c>
      <c r="B15" s="31" t="s">
        <v>637</v>
      </c>
      <c r="C15" s="31" t="s">
        <v>638</v>
      </c>
      <c r="D15" s="31" t="s">
        <v>639</v>
      </c>
      <c r="E15" s="31" t="s">
        <v>640</v>
      </c>
      <c r="F15" s="31" t="s">
        <v>638</v>
      </c>
      <c r="G15" s="31" t="s">
        <v>641</v>
      </c>
    </row>
    <row r="16" customFormat="false" ht="15" hidden="false" customHeight="true" outlineLevel="0" collapsed="false">
      <c r="A16" s="31" t="s">
        <v>642</v>
      </c>
      <c r="B16" s="31" t="s">
        <v>643</v>
      </c>
      <c r="C16" s="31" t="s">
        <v>644</v>
      </c>
      <c r="D16" s="31" t="s">
        <v>626</v>
      </c>
      <c r="E16" s="31" t="s">
        <v>645</v>
      </c>
      <c r="F16" s="31" t="s">
        <v>644</v>
      </c>
      <c r="G16" s="31" t="s">
        <v>646</v>
      </c>
    </row>
    <row r="17" customFormat="false" ht="15" hidden="false" customHeight="true" outlineLevel="0" collapsed="false">
      <c r="A17" s="31" t="s">
        <v>647</v>
      </c>
      <c r="B17" s="31" t="s">
        <v>648</v>
      </c>
      <c r="C17" s="31" t="s">
        <v>649</v>
      </c>
      <c r="D17" s="31" t="s">
        <v>632</v>
      </c>
      <c r="E17" s="31" t="s">
        <v>650</v>
      </c>
      <c r="F17" s="31" t="s">
        <v>649</v>
      </c>
      <c r="G17" s="31" t="s">
        <v>651</v>
      </c>
    </row>
    <row r="19" customFormat="false" ht="15" hidden="false" customHeight="true" outlineLevel="0" collapsed="false">
      <c r="A19" s="29" t="s">
        <v>652</v>
      </c>
    </row>
    <row r="20" customFormat="false" ht="45" hidden="false" customHeight="true" outlineLevel="0" collapsed="false">
      <c r="A20" s="32" t="s">
        <v>653</v>
      </c>
      <c r="B20" s="32"/>
      <c r="C20" s="32"/>
      <c r="D20" s="32"/>
      <c r="E20" s="32"/>
      <c r="F20" s="32"/>
      <c r="G20" s="32"/>
    </row>
    <row r="22" customFormat="false" ht="15" hidden="false" customHeight="true" outlineLevel="0" collapsed="false">
      <c r="A22" s="29" t="s">
        <v>654</v>
      </c>
    </row>
    <row r="23" customFormat="false" ht="15" hidden="false" customHeight="true" outlineLevel="0" collapsed="false">
      <c r="A23" s="29" t="s">
        <v>655</v>
      </c>
      <c r="B23" s="32" t="s">
        <v>656</v>
      </c>
      <c r="C23" s="32"/>
      <c r="D23" s="32"/>
      <c r="E23" s="32"/>
      <c r="F23" s="32"/>
      <c r="G23" s="32"/>
    </row>
    <row r="24" customFormat="false" ht="15" hidden="false" customHeight="true" outlineLevel="0" collapsed="false">
      <c r="A24" s="29" t="s">
        <v>657</v>
      </c>
      <c r="B24" s="32" t="s">
        <v>658</v>
      </c>
      <c r="C24" s="32"/>
      <c r="D24" s="32"/>
      <c r="E24" s="32"/>
      <c r="F24" s="32"/>
      <c r="G24" s="32"/>
    </row>
    <row r="25" customFormat="false" ht="15" hidden="false" customHeight="true" outlineLevel="0" collapsed="false">
      <c r="A25" s="29" t="s">
        <v>659</v>
      </c>
      <c r="B25" s="32" t="s">
        <v>660</v>
      </c>
      <c r="C25" s="32"/>
      <c r="D25" s="32"/>
      <c r="E25" s="32"/>
      <c r="F25" s="32"/>
      <c r="G25" s="32"/>
    </row>
    <row r="26" customFormat="false" ht="15" hidden="false" customHeight="true" outlineLevel="0" collapsed="false">
      <c r="A26" s="29" t="s">
        <v>661</v>
      </c>
      <c r="B26" s="32" t="s">
        <v>662</v>
      </c>
      <c r="C26" s="32"/>
      <c r="D26" s="32"/>
      <c r="E26" s="32"/>
      <c r="F26" s="32"/>
      <c r="G26" s="32"/>
    </row>
    <row r="27" customFormat="false" ht="15" hidden="false" customHeight="true" outlineLevel="0" collapsed="false">
      <c r="A27" s="29" t="s">
        <v>663</v>
      </c>
      <c r="B27" s="32" t="s">
        <v>664</v>
      </c>
      <c r="C27" s="32"/>
      <c r="D27" s="32"/>
      <c r="E27" s="32"/>
      <c r="F27" s="32"/>
      <c r="G27" s="32"/>
    </row>
    <row r="28" customFormat="false" ht="15" hidden="false" customHeight="true" outlineLevel="0" collapsed="false">
      <c r="A28" s="29" t="s">
        <v>665</v>
      </c>
      <c r="B28" s="32" t="s">
        <v>666</v>
      </c>
      <c r="C28" s="32"/>
      <c r="D28" s="32"/>
      <c r="E28" s="32"/>
      <c r="F28" s="32"/>
      <c r="G28" s="32"/>
    </row>
    <row r="29" customFormat="false" ht="15" hidden="false" customHeight="true" outlineLevel="0" collapsed="false">
      <c r="A29" s="29" t="s">
        <v>667</v>
      </c>
      <c r="B29" s="32" t="s">
        <v>668</v>
      </c>
      <c r="C29" s="32"/>
      <c r="D29" s="32"/>
      <c r="E29" s="32"/>
      <c r="F29" s="32"/>
      <c r="G29" s="32"/>
    </row>
  </sheetData>
  <mergeCells count="8">
    <mergeCell ref="A20:G20"/>
    <mergeCell ref="B23:G23"/>
    <mergeCell ref="B24:G24"/>
    <mergeCell ref="B25:G25"/>
    <mergeCell ref="B26:G26"/>
    <mergeCell ref="B27:G27"/>
    <mergeCell ref="B28:G28"/>
    <mergeCell ref="B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52"/>
  </cols>
  <sheetData>
    <row r="1" customFormat="false" ht="68.25" hidden="false" customHeight="true" outlineLevel="0" collapsed="false">
      <c r="A1" s="29" t="s">
        <v>669</v>
      </c>
    </row>
    <row r="3" customFormat="false" ht="15" hidden="false" customHeight="true" outlineLevel="0" collapsed="false">
      <c r="A3" s="30" t="s">
        <v>598</v>
      </c>
      <c r="B3" s="30" t="s">
        <v>599</v>
      </c>
      <c r="C3" s="30" t="s">
        <v>670</v>
      </c>
      <c r="D3" s="30" t="s">
        <v>600</v>
      </c>
    </row>
    <row r="4" customFormat="false" ht="15" hidden="false" customHeight="true" outlineLevel="0" collapsed="false">
      <c r="A4" s="31" t="s">
        <v>671</v>
      </c>
      <c r="B4" s="31" t="s">
        <v>672</v>
      </c>
      <c r="C4" s="31" t="s">
        <v>673</v>
      </c>
      <c r="D4" s="31" t="s">
        <v>674</v>
      </c>
    </row>
    <row r="5" customFormat="false" ht="15" hidden="false" customHeight="true" outlineLevel="0" collapsed="false">
      <c r="A5" s="31" t="s">
        <v>675</v>
      </c>
      <c r="B5" s="31" t="s">
        <v>676</v>
      </c>
      <c r="C5" s="31" t="s">
        <v>677</v>
      </c>
      <c r="D5" s="31" t="s">
        <v>678</v>
      </c>
    </row>
    <row r="6" customFormat="false" ht="15" hidden="false" customHeight="true" outlineLevel="0" collapsed="false">
      <c r="A6" s="31" t="s">
        <v>679</v>
      </c>
      <c r="B6" s="31" t="s">
        <v>680</v>
      </c>
      <c r="C6" s="31" t="s">
        <v>681</v>
      </c>
      <c r="D6" s="31" t="s">
        <v>682</v>
      </c>
    </row>
    <row r="7" customFormat="false" ht="15" hidden="false" customHeight="true" outlineLevel="0" collapsed="false">
      <c r="A7" s="31" t="s">
        <v>683</v>
      </c>
      <c r="B7" s="31" t="s">
        <v>684</v>
      </c>
      <c r="C7" s="31" t="s">
        <v>685</v>
      </c>
      <c r="D7" s="31" t="s">
        <v>686</v>
      </c>
    </row>
    <row r="8" customFormat="false" ht="15" hidden="false" customHeight="true" outlineLevel="0" collapsed="false">
      <c r="A8" s="31" t="s">
        <v>687</v>
      </c>
      <c r="B8" s="31" t="s">
        <v>688</v>
      </c>
      <c r="C8" s="31" t="s">
        <v>689</v>
      </c>
      <c r="D8" s="31" t="s">
        <v>690</v>
      </c>
    </row>
    <row r="9" customFormat="false" ht="15" hidden="false" customHeight="true" outlineLevel="0" collapsed="false">
      <c r="A9" s="31" t="s">
        <v>691</v>
      </c>
      <c r="B9" s="31" t="s">
        <v>692</v>
      </c>
      <c r="C9" s="31" t="s">
        <v>693</v>
      </c>
      <c r="D9" s="31" t="s">
        <v>694</v>
      </c>
    </row>
    <row r="11" customFormat="false" ht="48" hidden="false" customHeight="true" outlineLevel="0" collapsed="false">
      <c r="A11" s="32" t="s">
        <v>695</v>
      </c>
      <c r="B11" s="32"/>
      <c r="C11" s="32"/>
      <c r="D11" s="32"/>
    </row>
  </sheetData>
  <mergeCells count="1"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2026-08-17T15:05:41Z</dcterms:created>
  <dc:creator>openpyxl</dc:creator>
  <dc:description/>
  <dc:language>en-US</dc:language>
  <cp:lastModifiedBy>Matteo HERNANDEZ</cp:lastModifiedBy>
  <dcterms:modified xsi:type="dcterms:W3CDTF">2026-10-03T08:09:57Z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